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7月产能数据" sheetId="1" r:id="rId1"/>
    <sheet name="规划与产能分析" sheetId="2" r:id="rId2"/>
    <sheet name="人力工时数据" sheetId="3" r:id="rId3"/>
  </sheets>
  <calcPr calcId="0"/>
</workbook>
</file>

<file path=xl/sharedStrings.xml><?xml version="1.0" encoding="utf-8"?>
<sst xmlns="http://schemas.openxmlformats.org/spreadsheetml/2006/main">
  <si>
    <t>APP开发</t>
  </si>
  <si>
    <t>后端开发</t>
  </si>
  <si>
    <t>Web开发</t>
  </si>
  <si>
    <t>中台开发</t>
  </si>
  <si>
    <t>AI开发</t>
  </si>
  <si>
    <t>测试部-应用软件测试</t>
  </si>
  <si>
    <t>欧洲办公室</t>
  </si>
  <si>
    <t>云平台总人数</t>
  </si>
  <si>
    <t>项目</t>
  </si>
  <si>
    <t>APP</t>
  </si>
  <si>
    <t>WEB</t>
  </si>
  <si>
    <t>后端</t>
  </si>
  <si>
    <t>云服务投入总人力</t>
  </si>
  <si>
    <t>所属产品线</t>
  </si>
  <si>
    <t>备注</t>
  </si>
  <si>
    <t>确认人</t>
  </si>
  <si>
    <t>是否确认</t>
  </si>
  <si>
    <t>阳光云</t>
  </si>
  <si>
    <t>平台</t>
  </si>
  <si>
    <t>IoT中台</t>
  </si>
  <si>
    <t>技术中台</t>
  </si>
  <si>
    <t>数据中台</t>
  </si>
  <si>
    <t>平台运维</t>
  </si>
  <si>
    <t>业务中台（平台）</t>
  </si>
  <si>
    <t>交互智能</t>
  </si>
  <si>
    <t>系统智能</t>
  </si>
  <si>
    <t>云服务</t>
  </si>
  <si>
    <t>中后台</t>
  </si>
  <si>
    <t>测试</t>
  </si>
  <si>
    <t>AI小助手</t>
  </si>
  <si>
    <t xml:space="preserve">智慧能源 </t>
  </si>
  <si>
    <t>郭海涛</t>
  </si>
  <si>
    <t>正式人数</t>
  </si>
  <si>
    <t>新iHM</t>
  </si>
  <si>
    <t>王杰</t>
  </si>
  <si>
    <t>外包人数</t>
  </si>
  <si>
    <t>阳光云多场景融合1.0</t>
  </si>
  <si>
    <t>邓荣</t>
  </si>
  <si>
    <t>总人数</t>
  </si>
  <si>
    <t>iSolarDesign</t>
  </si>
  <si>
    <t>毕道伟</t>
  </si>
  <si>
    <t>亚非拉离网项目</t>
  </si>
  <si>
    <t>邱换春</t>
  </si>
  <si>
    <t>微电网上云</t>
  </si>
  <si>
    <t>王耀东</t>
  </si>
  <si>
    <t>iHM 3.0 AI 进阶收益提升项目</t>
  </si>
  <si>
    <t>泽塔电池</t>
  </si>
  <si>
    <t>项目投入</t>
  </si>
  <si>
    <t>版本上线时间</t>
  </si>
  <si>
    <t>迭代剩余</t>
  </si>
  <si>
    <t>封版时间</t>
  </si>
  <si>
    <t>上线时间</t>
  </si>
  <si>
    <t>工作日</t>
  </si>
  <si>
    <t>周六天数</t>
  </si>
  <si>
    <t>开发周期</t>
  </si>
  <si>
    <t>是否采用</t>
  </si>
  <si>
    <t>合计</t>
  </si>
  <si>
    <r>
      <rPr>
        <b/>
        <sz val="10"/>
      </rPr>
      <t xml:space="preserve">结论：</t>
    </r>
    <r>
      <t xml:space="preserve">
</t>
    </r>
    <r>
      <rPr>
        <sz val="10"/>
      </rPr>
      <t xml:space="preserve">1、发布7.23小版本，发布8.13正式版本；</t>
    </r>
    <r>
      <t xml:space="preserve">
</t>
    </r>
    <r>
      <rPr>
        <sz val="10"/>
      </rPr>
      <t xml:space="preserve">2、研发天数共 28天：工作日 25天，周末3天；</t>
    </r>
  </si>
  <si>
    <t xml:space="preserve"> </t>
  </si>
  <si>
    <t>产品线版本工作量汇总</t>
  </si>
  <si>
    <t>产线</t>
  </si>
  <si>
    <t>APP开发-阳光云</t>
  </si>
  <si>
    <t>APP开发-平台</t>
  </si>
  <si>
    <t>后端开发-阳光云</t>
  </si>
  <si>
    <t>后端开发-平台</t>
  </si>
  <si>
    <t>Web开发-阳光云</t>
  </si>
  <si>
    <t>Web开发-平台</t>
  </si>
  <si>
    <t>中台开发-IoT中台</t>
  </si>
  <si>
    <t>中台开发-技术中台</t>
  </si>
  <si>
    <t>中台开发-数据中台</t>
  </si>
  <si>
    <t>中台开发-平台运维</t>
  </si>
  <si>
    <t>AI开发-交互智能</t>
  </si>
  <si>
    <t>AI开发-系统智能</t>
  </si>
  <si>
    <t>测试部-应用软件测试-云服务</t>
  </si>
  <si>
    <t>测试部-应用软件测试-中后台</t>
  </si>
  <si>
    <t>欧洲办公室-APP</t>
  </si>
  <si>
    <t>欧洲办公室-WEB</t>
  </si>
  <si>
    <t>欧洲办公室-测试</t>
  </si>
  <si>
    <t>版本工作量（人天）</t>
  </si>
  <si>
    <t>户用及分布式监控</t>
  </si>
  <si>
    <t>储能及地面监控</t>
  </si>
  <si>
    <t>工商业场景监控（临时）</t>
  </si>
  <si>
    <t>产品线汇总</t>
  </si>
  <si>
    <t>版本规划工作量汇总</t>
  </si>
  <si>
    <t>分类</t>
  </si>
  <si>
    <t>需求总人力（人天）</t>
  </si>
  <si>
    <t>未立项/未填写项目</t>
  </si>
  <si>
    <t>ECO</t>
  </si>
  <si>
    <t>工具项目</t>
  </si>
  <si>
    <t>智慧能源产品中心</t>
  </si>
  <si>
    <t>云团队产能明细</t>
  </si>
  <si>
    <t>人数</t>
  </si>
  <si>
    <t>产能</t>
  </si>
  <si>
    <t>员工类型</t>
  </si>
  <si>
    <t>研发天数</t>
  </si>
  <si>
    <t>产能-APP开发-阳光云</t>
  </si>
  <si>
    <t>产能-APP开发-平台</t>
  </si>
  <si>
    <t>产能-后端开发-阳光云</t>
  </si>
  <si>
    <t>产能-后端开发-平台</t>
  </si>
  <si>
    <t>产能-Web开发-阳光云</t>
  </si>
  <si>
    <t>产能-Web开发-平台</t>
  </si>
  <si>
    <t>产能-中台开发-IoT中台</t>
  </si>
  <si>
    <t>产能-中台开发-技术中台</t>
  </si>
  <si>
    <t>产能-中台开发-数据中台</t>
  </si>
  <si>
    <t>产能-中台开发-平台运维</t>
  </si>
  <si>
    <t>产能-中台开发-业务中台（平台）</t>
  </si>
  <si>
    <t>产能-AI开发-交互智能</t>
  </si>
  <si>
    <t>产能-AI开发-系统智能</t>
  </si>
  <si>
    <t>产能-测试部-应用软件测试-云服务</t>
  </si>
  <si>
    <t>产能-测试部-应用软件测试-中后台</t>
  </si>
  <si>
    <t>产能-欧洲办公室-APP</t>
  </si>
  <si>
    <t>产能-欧洲办公室-WEB</t>
  </si>
  <si>
    <t>产能-欧洲办公室-测试</t>
  </si>
  <si>
    <t>总产能</t>
  </si>
  <si>
    <t>正式</t>
  </si>
  <si>
    <t>外包</t>
  </si>
  <si>
    <t>汇总</t>
  </si>
  <si>
    <t>团队版本工作量与团队产能偏差分析</t>
  </si>
  <si>
    <t>团队</t>
  </si>
  <si>
    <t>总产能
（人天）</t>
  </si>
  <si>
    <t>超出工作量</t>
  </si>
  <si>
    <t>超出比例</t>
  </si>
  <si>
    <t>处理方式</t>
  </si>
  <si>
    <t>总产能
（28人天）</t>
  </si>
  <si>
    <t>7.30</t>
  </si>
  <si>
    <t>7.9 6月版本发布</t>
  </si>
  <si>
    <t>7.10研发周期开始</t>
  </si>
  <si>
    <t>无月中小版本、7.30发布正式7月版本</t>
  </si>
  <si>
    <t>方案二</t>
  </si>
  <si>
    <t>月中版本放7.23、7月正式版本放8.13</t>
  </si>
  <si>
    <t>7&amp;8月版本合并、7.30小版本、8.27大版本</t>
  </si>
  <si>
    <t>7.30附近 印度云迁移人力占用</t>
  </si>
  <si>
    <t>1、超出工作量=团队版本工作量-团队产能
2、超出工作量为负数说明产能富余，可继续导入需求；为正数说明产能不足，需要裁剪需求
3、超出比例±10%以内属于正常偏差，研发团队自己消化</t>
  </si>
  <si>
    <t>所属项目(层级1)</t>
  </si>
  <si>
    <t>所在团队</t>
  </si>
  <si>
    <t>阳光云2026-7月C版本迭代</t>
  </si>
  <si>
    <t>中后台-2026年7月迭代</t>
  </si>
  <si>
    <t>故事点 (求和)</t>
  </si>
  <si>
    <t>预估故事点 (求和)</t>
  </si>
  <si>
    <t>项目_公式辅助列</t>
  </si>
  <si>
    <t>WEB开发-阳光云</t>
  </si>
  <si>
    <t>未立项</t>
  </si>
  <si>
    <t>未填写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</si>
</sst>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\+0.0;\-0.0;0"/>
  </numFmts>
  <fonts count="3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等线"/>
    </font>
    <font>
      <b/>
      <sz val="11"/>
      <color rgb="FFFFFFFF"/>
      <name val="微软雅黑"/>
    </font>
    <font>
      <b/>
      <sz val="10"/>
      <color rgb="FF000000"/>
      <name val="微软雅黑"/>
    </font>
    <font>
      <sz val="10"/>
      <color rgb="FF000000"/>
      <name val="微软雅黑"/>
    </font>
    <font>
      <b/>
      <sz val="10"/>
      <color rgb="FF000000"/>
      <name val="等线"/>
    </font>
    <font>
      <sz val="10"/>
      <color rgb="FF000000"/>
      <name val="等线"/>
    </font>
    <font>
      <sz val="10"/>
      <name val="微软雅黑, sans-serif"/>
    </font>
    <font>
      <sz val="10"/>
      <color rgb="FFFE0300"/>
      <name val="微软雅黑, sans-serif"/>
    </font>
    <font>
      <b/>
      <sz val="10"/>
      <name val="微软雅黑, sans-serif"/>
    </font>
    <font>
      <i/>
      <sz val="9"/>
      <color rgb="FF595959"/>
      <name val="微软雅黑"/>
    </font>
    <font>
      <sz val="11"/>
      <color rgb="FF000000"/>
      <name val="等线"/>
    </font>
    <font>
      <strike/>
      <sz val="10"/>
      <color rgb="FF000000"/>
      <name val="微软雅黑"/>
    </font>
    <font>
      <sz val="10"/>
      <color rgb="FFFE0300"/>
      <name val="微软雅黑"/>
    </font>
    <font>
      <strike/>
      <sz val="10"/>
      <name val="微软雅黑, sans-serif"/>
    </font>
    <font>
      <b/>
      <sz val="10"/>
      <color rgb="FFFE0300"/>
      <name val="微软雅黑, sans-serif"/>
    </font>
    <font>
      <b/>
      <sz val="10"/>
      <color rgb="FFFE0300"/>
      <name val="微软雅黑"/>
    </font>
    <font>
      <sz val="11"/>
      <color rgb="FF5A5A5A"/>
    </font>
    <font>
      <b/>
      <sz val="11"/>
      <color rgb="FF5A6C84"/>
    </font>
    <font>
      <sz val="12"/>
    </font>
    <font>
      <b/>
      <sz val="10"/>
      <name val="等线"/>
    </font>
    <font>
      <sz val="10"/>
      <name val="等线"/>
    </font>
    <font>
      <b/>
      <sz val="11"/>
      <color rgb="FFFFFFFF"/>
      <name val="微软雅黑, sans-serif"/>
    </font>
    <font>
      <sz val="10"/>
    </font>
    <font>
      <b/>
      <sz val="10"/>
      <color rgb="FF000000"/>
      <name val="微软雅黑"/>
    </font>
    <font>
      <b/>
      <sz val="10"/>
      <name val="微软雅黑, sans-serif"/>
    </font>
    <font>
      <sz val="10"/>
    </font>
    <font>
      <i/>
      <sz val="9"/>
      <color rgb="FF595959"/>
      <name val="微软雅黑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E4EDDB"/>
      </patternFill>
    </fill>
    <fill>
      <patternFill patternType="solid">
        <fgColor rgb="FFF2F2F2"/>
      </patternFill>
    </fill>
    <fill>
      <patternFill patternType="solid">
        <fgColor rgb="FFE8E6E7"/>
      </patternFill>
    </fill>
    <fill>
      <patternFill patternType="solid">
        <fgColor rgb="FF84B7FE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E9E9E9"/>
      </left>
      <right style="thin">
        <color rgb="FFE9E9E9"/>
      </right>
      <top style="thin">
        <color rgb="FFE9E9E9"/>
      </top>
      <bottom style="thin">
        <color rgb="FFE9E9E9"/>
      </bottom>
      <diagonal/>
    </border>
    <border>
      <left/>
      <right style="thin">
        <color rgb="FFE9E9E9"/>
      </right>
      <top style="thin">
        <color rgb="FFE9E9E9"/>
      </top>
      <bottom style="thin">
        <color rgb="FFE9E9E9"/>
      </bottom>
      <diagonal/>
    </border>
    <border>
      <left/>
      <right style="thin">
        <color rgb="FFE9E9E9"/>
      </right>
      <top/>
      <bottom style="thin">
        <color rgb="FFE9E9E9"/>
      </bottom>
      <diagonal/>
    </border>
    <border>
      <left style="thin">
        <color rgb="FFE9E9E9"/>
      </left>
      <right style="thin">
        <color rgb="FFE9E9E9"/>
      </right>
      <top/>
      <bottom style="thin">
        <color rgb="FFE9E9E9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general" vertical="bottom"/>
    </xf>
    <xf numFmtId="0" fontId="6" fillId="2" borderId="1" xfId="0" applyFont="1" applyFill="1" applyBorder="1" applyProtection="1">
      <alignment horizontal="center" vertical="center" wrapText="1"/>
    </xf>
    <xf numFmtId="0" fontId="7" fillId="3" borderId="1" xfId="0" applyFont="1" applyFill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 wrapText="1"/>
    </xf>
    <xf numFmtId="0" fontId="8" fillId="4" borderId="1" xfId="0" applyFont="1" applyFill="1" applyBorder="1" applyProtection="1">
      <alignment horizontal="center" vertical="center" wrapText="1"/>
    </xf>
    <xf numFmtId="0" fontId="7" fillId="5" borderId="1" xfId="0" applyFont="1" applyFill="1" applyBorder="1" applyProtection="1">
      <alignment horizontal="center" vertical="center" wrapText="1"/>
    </xf>
    <xf numFmtId="49" fontId="8" fillId="4" borderId="1" xfId="0" applyNumberFormat="1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general" vertical="bottom"/>
    </xf>
    <xf numFmtId="0" fontId="9" fillId="0" borderId="0" xfId="0" applyFont="1">
      <alignment horizontal="general" vertical="center"/>
    </xf>
    <xf numFmtId="0" fontId="10" fillId="0" borderId="0" xfId="0" applyFont="1">
      <alignment horizontal="general" vertical="center"/>
    </xf>
    <xf numFmtId="0" fontId="10" fillId="0" borderId="0" xfId="0" applyFont="1">
      <alignment horizontal="center" vertical="center"/>
    </xf>
    <xf numFmtId="0" fontId="10" fillId="0" borderId="0" xfId="0" applyFont="1">
      <alignment horizontal="general" vertical="center" wrapText="1"/>
    </xf>
    <xf numFmtId="0" fontId="7" fillId="3" borderId="1" xfId="0" applyFont="1" applyFill="1" applyBorder="1" applyProtection="1">
      <alignment horizontal="left" vertical="center" wrapText="1"/>
    </xf>
    <xf numFmtId="0" fontId="8" fillId="6" borderId="1" xfId="0" applyFont="1" applyFill="1" applyBorder="1" applyProtection="1">
      <alignment horizontal="center" vertical="center" wrapText="1"/>
    </xf>
    <xf numFmtId="164" fontId="11" fillId="0" borderId="2" xfId="0" applyNumberFormat="1" applyFont="1" applyBorder="1" applyProtection="1">
      <alignment horizontal="center" vertical="center" wrapText="1"/>
    </xf>
    <xf numFmtId="10" fontId="8" fillId="0" borderId="1" xfId="0" applyNumberFormat="1" applyFont="1" applyBorder="1" applyProtection="1">
      <alignment horizontal="center" vertical="center" wrapText="1"/>
    </xf>
    <xf numFmtId="165" fontId="12" fillId="0" borderId="2" xfId="0" applyNumberFormat="1" applyFont="1" applyBorder="1" applyProtection="1">
      <alignment horizontal="center" vertical="center" wrapText="1"/>
    </xf>
    <xf numFmtId="0" fontId="6" fillId="2" borderId="3" xfId="0" applyFont="1" applyFill="1" applyBorder="1" applyProtection="1">
      <alignment horizontal="center" vertical="center" wrapText="1"/>
    </xf>
    <xf numFmtId="0" fontId="7" fillId="7" borderId="1" xfId="0" applyFont="1" applyFill="1" applyBorder="1" applyProtection="1">
      <alignment horizontal="center" vertical="center" wrapText="1"/>
    </xf>
    <xf numFmtId="165" fontId="11" fillId="8" borderId="4" xfId="0" applyNumberFormat="1" applyFont="1" applyFill="1" applyBorder="1" applyProtection="1">
      <alignment horizontal="center" vertical="center" wrapText="1"/>
    </xf>
    <xf numFmtId="0" fontId="13" fillId="3" borderId="4" xfId="0" applyFont="1" applyFill="1" applyBorder="1" applyProtection="1">
      <alignment horizontal="center" vertical="center" wrapText="1"/>
    </xf>
    <xf numFmtId="165" fontId="8" fillId="6" borderId="1" xfId="0" applyNumberFormat="1" applyFont="1" applyFill="1" applyBorder="1" applyProtection="1">
      <alignment horizontal="center" vertical="center" wrapText="1"/>
    </xf>
    <xf numFmtId="165" fontId="11" fillId="8" borderId="2" xfId="0" applyNumberFormat="1" applyFont="1" applyFill="1" applyBorder="1" applyProtection="1">
      <alignment horizontal="center" vertical="center" wrapText="1"/>
    </xf>
    <xf numFmtId="165" fontId="11" fillId="8" borderId="4" xfId="0" applyNumberFormat="1" applyFont="1" applyFill="1" applyBorder="1" applyProtection="1">
      <alignment horizontal="center" vertical="center" wrapText="1"/>
    </xf>
    <xf numFmtId="1" fontId="10" fillId="0" borderId="0" xfId="0" applyNumberFormat="1" applyFont="1">
      <alignment horizontal="general" vertical="center"/>
    </xf>
    <xf numFmtId="0" fontId="14" fillId="9" borderId="0" xfId="0" applyFont="1" applyFill="1">
      <alignment horizontal="left" vertical="center" wrapText="1"/>
    </xf>
    <xf numFmtId="0" fontId="9" fillId="10" borderId="0" xfId="0" applyFont="1" applyFill="1">
      <alignment horizontal="center" vertical="center"/>
    </xf>
    <xf numFmtId="0" fontId="10" fillId="11" borderId="0" xfId="0" applyFont="1" applyFill="1">
      <alignment horizontal="general" vertical="center"/>
    </xf>
    <xf numFmtId="1" fontId="9" fillId="0" borderId="0" xfId="0" applyNumberFormat="1" applyFont="1">
      <alignment horizontal="general" vertical="center"/>
    </xf>
    <xf numFmtId="0" fontId="15" fillId="0" borderId="0" xfId="0" applyFont="1">
      <alignment horizontal="general" vertical="center"/>
    </xf>
    <xf numFmtId="166" fontId="11" fillId="0" borderId="2" xfId="0" applyNumberFormat="1" applyFont="1" applyBorder="1" applyProtection="1">
      <alignment horizontal="center" vertical="center" wrapText="1"/>
    </xf>
    <xf numFmtId="0" fontId="4" fillId="0" borderId="5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16" fillId="4" borderId="1" xfId="0" applyFont="1" applyFill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165" fontId="8" fillId="0" borderId="1" xfId="0" applyNumberFormat="1" applyFont="1" applyBorder="1" applyProtection="1">
      <alignment horizontal="center" vertical="center" wrapText="1"/>
    </xf>
    <xf numFmtId="0" fontId="16" fillId="6" borderId="1" xfId="0" applyFont="1" applyFill="1" applyBorder="1" applyProtection="1">
      <alignment horizontal="center" vertical="center" wrapText="1"/>
    </xf>
    <xf numFmtId="165" fontId="17" fillId="0" borderId="1" xfId="0" applyNumberFormat="1" applyFont="1" applyBorder="1" applyProtection="1">
      <alignment horizontal="center" vertical="center" wrapText="1"/>
    </xf>
    <xf numFmtId="14" fontId="11" fillId="4" borderId="7" xfId="0" applyNumberFormat="1" applyFont="1" applyFill="1" applyBorder="1" applyProtection="1">
      <alignment horizontal="center" vertical="center" wrapText="1"/>
    </xf>
    <xf numFmtId="0" fontId="18" fillId="4" borderId="7" xfId="0" applyFont="1" applyFill="1" applyBorder="1" applyProtection="1">
      <alignment horizontal="center" vertical="center" wrapText="1"/>
    </xf>
    <xf numFmtId="0" fontId="11" fillId="4" borderId="7" xfId="0" applyFont="1" applyFill="1" applyBorder="1" applyProtection="1">
      <alignment horizontal="center" vertical="center" wrapText="1"/>
    </xf>
    <xf numFmtId="165" fontId="11" fillId="0" borderId="2" xfId="0" applyNumberFormat="1" applyFont="1" applyBorder="1" applyProtection="1">
      <alignment horizontal="center" vertical="center" wrapText="1"/>
    </xf>
    <xf numFmtId="0" fontId="4" fillId="0" borderId="8" xfId="0" applyFont="1" applyBorder="1" applyProtection="1">
      <alignment vertical="center"/>
    </xf>
    <xf numFmtId="0" fontId="4" fillId="0" borderId="8" xfId="0" applyFont="1" applyBorder="1" applyProtection="1">
      <alignment vertical="center" wrapText="1"/>
    </xf>
    <xf numFmtId="2" fontId="19" fillId="4" borderId="7" xfId="0" applyNumberFormat="1" applyFont="1" applyFill="1" applyBorder="1" applyProtection="1">
      <alignment horizontal="center" vertical="center" wrapText="1"/>
    </xf>
    <xf numFmtId="0" fontId="19" fillId="4" borderId="7" xfId="0" applyFont="1" applyFill="1" applyBorder="1" applyProtection="1">
      <alignment horizontal="center" vertical="center" wrapText="1"/>
    </xf>
    <xf numFmtId="0" fontId="19" fillId="4" borderId="7" xfId="0" applyFont="1" applyFill="1" applyBorder="1" applyProtection="1">
      <alignment horizontal="center" vertical="center" wrapText="1"/>
    </xf>
    <xf numFmtId="0" fontId="20" fillId="6" borderId="1" xfId="0" applyFont="1" applyFill="1" applyBorder="1" applyProtection="1">
      <alignment horizontal="center" vertical="center" wrapText="1"/>
    </xf>
    <xf numFmtId="0" fontId="21" fillId="0" borderId="0" xfId="0" applyFont="1">
      <alignment vertical="center"/>
    </xf>
    <xf numFmtId="0" fontId="22" fillId="12" borderId="9" xfId="0" applyFont="1" applyFill="1" applyBorder="1" applyProtection="1">
      <alignment horizontal="left" vertical="center"/>
    </xf>
    <xf numFmtId="0" fontId="22" fillId="12" borderId="10" xfId="0" applyFont="1" applyFill="1" applyBorder="1" applyProtection="1">
      <alignment horizontal="left" vertical="center"/>
    </xf>
    <xf numFmtId="0" fontId="22" fillId="12" borderId="11" xfId="0" applyFont="1" applyFill="1" applyBorder="1" applyProtection="1">
      <alignment horizontal="left" vertical="center"/>
    </xf>
    <xf numFmtId="0" fontId="5" fillId="0" borderId="0" xfId="0" applyFont="1">
      <alignment horizontal="general" vertical="center"/>
    </xf>
    <xf numFmtId="0" fontId="21" fillId="13" borderId="12" xfId="0" applyFont="1" applyFill="1" applyBorder="1" applyProtection="1">
      <alignment vertical="center"/>
    </xf>
    <xf numFmtId="0" fontId="21" fillId="13" borderId="11" xfId="0" applyFont="1" applyFill="1" applyBorder="1" applyProtection="1">
      <alignment vertical="center"/>
    </xf>
    <xf numFmtId="0" fontId="21" fillId="12" borderId="11" xfId="0" applyFont="1" applyFill="1" applyBorder="1" applyProtection="1">
      <alignment vertical="center"/>
    </xf>
    <xf numFmtId="0" fontId="8" fillId="0" borderId="7" xfId="0" applyFont="1" applyBorder="1" applyProtection="1">
      <alignment horizontal="center" vertical="center" wrapText="1"/>
    </xf>
    <xf numFmtId="0" fontId="5" fillId="0" borderId="7" xfId="0" applyFont="1" applyBorder="1" applyProtection="1">
      <alignment horizontal="center" vertical="bottom"/>
    </xf>
    <xf numFmtId="0" fontId="5" fillId="0" borderId="7" xfId="0" applyFont="1" applyBorder="1" applyProtection="1">
      <alignment horizontal="general" vertical="bottom"/>
    </xf>
    <xf numFmtId="0" fontId="7" fillId="3" borderId="7" xfId="0" applyFont="1" applyFill="1" applyBorder="1" applyProtection="1">
      <alignment horizontal="center" vertical="center" wrapText="1"/>
    </xf>
    <xf numFmtId="0" fontId="7" fillId="5" borderId="7" xfId="0" applyFont="1" applyFill="1" applyBorder="1" applyProtection="1">
      <alignment horizontal="center" vertical="center" wrapText="1"/>
    </xf>
    <xf numFmtId="0" fontId="21" fillId="13" borderId="11" xfId="0" applyFont="1" applyFill="1" applyBorder="1" applyProtection="1">
      <alignment horizontal="center" vertical="center"/>
    </xf>
    <xf numFmtId="0" fontId="21" fillId="12" borderId="11" xfId="0" applyFont="1" applyFill="1" applyBorder="1" applyProtection="1">
      <alignment horizontal="center" vertical="center"/>
    </xf>
    <xf numFmtId="0" fontId="4" fillId="0" borderId="0" xfId="0" applyFont="1">
      <alignment vertical="center"/>
    </xf>
    <xf numFmtId="0" fontId="11" fillId="0" borderId="2" xfId="0" applyFont="1" applyBorder="1" applyProtection="1">
      <alignment horizontal="center" vertical="center" wrapText="1"/>
    </xf>
    <xf numFmtId="0" fontId="23" fillId="0" borderId="0" xfId="0" applyFont="1">
      <alignment vertical="center"/>
    </xf>
    <xf numFmtId="0" fontId="11" fillId="4" borderId="7" xfId="0" applyFont="1" applyFill="1" applyBorder="1" applyProtection="1">
      <alignment horizontal="center" vertical="center" wrapText="1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5" fillId="0" borderId="0" xfId="0" applyFont="1">
      <alignment vertical="bottom"/>
    </xf>
    <xf numFmtId="0" fontId="26" fillId="2" borderId="1" xfId="0" applyFont="1" applyFill="1" applyBorder="1" applyProtection="1">
      <alignment horizontal="center" vertical="center" wrapText="1"/>
    </xf>
    <xf numFmtId="0" fontId="13" fillId="3" borderId="13" xfId="0" applyFont="1" applyFill="1" applyBorder="1" applyProtection="1">
      <alignment horizontal="center" vertical="center" wrapText="1"/>
    </xf>
    <xf numFmtId="0" fontId="13" fillId="3" borderId="13" xfId="0" applyFont="1" applyFill="1" applyBorder="1" applyProtection="1">
      <alignment horizontal="left" vertical="center" wrapText="1"/>
    </xf>
    <xf numFmtId="0" fontId="11" fillId="4" borderId="4" xfId="0" applyFont="1" applyFill="1" applyBorder="1" applyProtection="1">
      <alignment horizontal="center" vertical="center" wrapText="1"/>
    </xf>
    <xf numFmtId="0" fontId="11" fillId="6" borderId="4" xfId="0" applyFont="1" applyFill="1" applyBorder="1" applyProtection="1">
      <alignment horizontal="center" vertical="center" wrapText="1"/>
    </xf>
    <xf numFmtId="0" fontId="13" fillId="5" borderId="13" xfId="0" applyFont="1" applyFill="1" applyBorder="1" applyProtection="1">
      <alignment horizontal="center" vertical="center" wrapText="1"/>
    </xf>
    <xf numFmtId="0" fontId="13" fillId="5" borderId="4" xfId="0" applyFont="1" applyFill="1" applyBorder="1" applyProtection="1">
      <alignment horizontal="center" vertical="center" wrapText="1"/>
    </xf>
    <xf numFmtId="0" fontId="25" fillId="6" borderId="4" xfId="0" applyFont="1" applyFill="1" applyBorder="1" applyProtection="1">
      <alignment horizontal="center" vertical="center"/>
    </xf>
    <xf numFmtId="0" fontId="11" fillId="4" borderId="1" xfId="0" applyFont="1" applyFill="1" applyBorder="1" applyProtection="1">
      <alignment horizontal="center" vertical="center" wrapText="1"/>
    </xf>
    <xf numFmtId="0" fontId="27" fillId="0" borderId="8" xfId="0" applyFont="1" applyBorder="1" applyProtection="1">
      <alignment vertical="center" wrapText="1"/>
    </xf>
    <xf numFmtId="0" fontId="28" fillId="3" borderId="1" xfId="0" applyFont="1" applyFill="1" applyBorder="1" applyProtection="1">
      <alignment horizontal="center" vertical="center" wrapText="1"/>
    </xf>
    <xf numFmtId="0" fontId="29" fillId="3" borderId="4" xfId="0" applyFont="1" applyFill="1" applyBorder="1" applyProtection="1">
      <alignment horizontal="center" vertical="center" wrapText="1"/>
    </xf>
    <xf numFmtId="0" fontId="30" fillId="0" borderId="8" xfId="0" applyFont="1" applyBorder="1" applyProtection="1">
      <alignment vertical="center" wrapText="1"/>
    </xf>
    <xf numFmtId="0" fontId="31" fillId="9" borderId="0" xfId="0" applyFont="1" applyFill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2" customWidth="1" style="6"/>
    <col min="2" max="19" width="10.998046875" customWidth="1" style="6"/>
    <col min="20" max="20" width="12.9990234375" customWidth="1" style="6"/>
    <col min="22" max="22" width="28.5" customWidth="1" style="6"/>
    <col min="23" max="26" width="10.998046875" customWidth="1" style="6"/>
    <col min="27" max="27" width="10.998046875" hidden="1" customWidth="1" style="6"/>
    <col min="28" max="30" width="10.998046875" customWidth="1" style="6"/>
  </cols>
  <sheetData>
    <row r="1" ht="28" customHeight="1">
      <c r="A1" s="7"/>
      <c r="B1" s="7" t="s">
        <v>0</v>
      </c>
      <c r="C1" s="13"/>
      <c r="D1" s="7" t="s">
        <v>1</v>
      </c>
      <c r="E1" s="13"/>
      <c r="F1" s="7" t="s">
        <v>2</v>
      </c>
      <c r="G1" s="13"/>
      <c r="H1" s="7" t="s">
        <v>3</v>
      </c>
      <c r="I1" s="13"/>
      <c r="J1" s="13"/>
      <c r="K1" s="13"/>
      <c r="L1" s="13"/>
      <c r="M1" s="7" t="s">
        <v>4</v>
      </c>
      <c r="N1" s="13"/>
      <c r="O1" s="7" t="s">
        <v>5</v>
      </c>
      <c r="P1" s="13"/>
      <c r="Q1" s="7" t="s">
        <v>6</v>
      </c>
      <c r="R1" s="13"/>
      <c r="S1" s="13"/>
      <c r="T1" s="7" t="s">
        <v>7</v>
      </c>
      <c r="U1" s="14"/>
      <c r="V1" s="23" t="s">
        <v>8</v>
      </c>
      <c r="W1" s="23" t="s">
        <v>9</v>
      </c>
      <c r="X1" s="23" t="s">
        <v>10</v>
      </c>
      <c r="Y1" s="23" t="s">
        <v>11</v>
      </c>
      <c r="Z1" s="23" t="s">
        <v>12</v>
      </c>
      <c r="AA1" s="23" t="s">
        <v>13</v>
      </c>
      <c r="AB1" s="23" t="s">
        <v>14</v>
      </c>
      <c r="AC1" s="23" t="s">
        <v>15</v>
      </c>
      <c r="AD1" s="23" t="s">
        <v>16</v>
      </c>
    </row>
    <row r="2" ht="36" customHeight="1">
      <c r="A2" s="13"/>
      <c r="B2" s="8" t="s">
        <v>17</v>
      </c>
      <c r="C2" s="8" t="s">
        <v>18</v>
      </c>
      <c r="D2" s="8" t="s">
        <v>17</v>
      </c>
      <c r="E2" s="8" t="s">
        <v>18</v>
      </c>
      <c r="F2" s="8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 t="s">
        <v>26</v>
      </c>
      <c r="P2" s="8" t="s">
        <v>27</v>
      </c>
      <c r="Q2" s="8" t="s">
        <v>9</v>
      </c>
      <c r="R2" s="8" t="s">
        <v>10</v>
      </c>
      <c r="S2" s="8" t="s">
        <v>28</v>
      </c>
      <c r="T2" s="13"/>
      <c r="U2" s="15"/>
      <c r="V2" s="62" t="s">
        <v>29</v>
      </c>
      <c r="W2" s="62"/>
      <c r="X2" s="62" t="n">
        <v>0</v>
      </c>
      <c r="Y2" s="62" t="n">
        <v>0.5</v>
      </c>
      <c r="Z2" s="62" t="n">
        <f>SUM(W2:Y2)</f>
        <v>0.5</v>
      </c>
      <c r="AA2" s="62" t="s">
        <v>30</v>
      </c>
      <c r="AB2" s="62"/>
      <c r="AC2" s="62" t="s">
        <v>31</v>
      </c>
      <c r="AD2" s="62" t="b">
        <v>1</v>
      </c>
    </row>
    <row r="3" ht="22" customHeight="1">
      <c r="A3" s="8" t="s">
        <v>32</v>
      </c>
      <c r="B3" s="9" t="n">
        <v>6</v>
      </c>
      <c r="C3" s="10"/>
      <c r="D3" s="9" t="n">
        <v>6</v>
      </c>
      <c r="E3" s="10" t="n">
        <v>4.5</v>
      </c>
      <c r="F3" s="9" t="n">
        <v>4.7</v>
      </c>
      <c r="G3" s="10"/>
      <c r="H3" s="9" t="n">
        <v>9</v>
      </c>
      <c r="I3" s="10" t="n">
        <v>5</v>
      </c>
      <c r="J3" s="9" t="n">
        <v>11</v>
      </c>
      <c r="K3" s="9" t="n">
        <v>6</v>
      </c>
      <c r="L3" s="9"/>
      <c r="M3" s="10"/>
      <c r="N3" s="10"/>
      <c r="O3" s="9" t="n">
        <v>5.5</v>
      </c>
      <c r="P3" s="9" t="n">
        <v>2.5</v>
      </c>
      <c r="Q3" s="10"/>
      <c r="R3" s="10"/>
      <c r="S3" s="10"/>
      <c r="T3" s="9" t="n">
        <f>SUM(B3:S3)</f>
        <v>60.2</v>
      </c>
      <c r="U3" s="15"/>
      <c r="V3" s="62" t="s">
        <v>33</v>
      </c>
      <c r="W3" s="62" t="n">
        <v>2</v>
      </c>
      <c r="X3" s="62" t="n">
        <v>0</v>
      </c>
      <c r="Y3" s="62" t="n">
        <v>0</v>
      </c>
      <c r="Z3" s="62" t="n">
        <f>SUM(W3:Y3)</f>
        <v>2</v>
      </c>
      <c r="AA3" s="62" t="s">
        <v>30</v>
      </c>
      <c r="AB3" s="62"/>
      <c r="AC3" s="62" t="s">
        <v>34</v>
      </c>
      <c r="AD3" s="62" t="b">
        <v>0</v>
      </c>
    </row>
    <row r="4" ht="22" customHeight="1">
      <c r="A4" s="8" t="s">
        <v>35</v>
      </c>
      <c r="B4" s="9" t="n">
        <v>2</v>
      </c>
      <c r="C4" s="10"/>
      <c r="D4" s="9" t="n">
        <v>2.5</v>
      </c>
      <c r="E4" s="10"/>
      <c r="F4" s="9" t="n">
        <v>1</v>
      </c>
      <c r="G4" s="10"/>
      <c r="H4" s="9" t="n">
        <v>0</v>
      </c>
      <c r="I4" s="10" t="n">
        <v>0</v>
      </c>
      <c r="J4" s="9" t="n">
        <v>0</v>
      </c>
      <c r="K4" s="9" t="n">
        <v>0</v>
      </c>
      <c r="L4" s="9"/>
      <c r="M4" s="10"/>
      <c r="N4" s="10"/>
      <c r="O4" s="9" t="n">
        <v>11</v>
      </c>
      <c r="P4" s="9" t="n">
        <v>1</v>
      </c>
      <c r="Q4" s="10"/>
      <c r="R4" s="10"/>
      <c r="S4" s="10"/>
      <c r="T4" s="9" t="n">
        <f>SUM(B4:S4)</f>
        <v>17.5</v>
      </c>
      <c r="U4" s="15"/>
      <c r="V4" s="62" t="s">
        <v>36</v>
      </c>
      <c r="W4" s="62" t="n">
        <v>10</v>
      </c>
      <c r="X4" s="62" t="n">
        <v>1</v>
      </c>
      <c r="Y4" s="62" t="n">
        <v>4</v>
      </c>
      <c r="Z4" s="62" t="n">
        <f>SUM(W4:Y4)</f>
        <v>15</v>
      </c>
      <c r="AA4" s="62" t="s">
        <v>30</v>
      </c>
      <c r="AB4" s="62"/>
      <c r="AC4" s="62" t="s">
        <v>37</v>
      </c>
      <c r="AD4" s="62" t="b">
        <v>1</v>
      </c>
    </row>
    <row r="5" ht="22" customHeight="1">
      <c r="A5" s="11" t="s">
        <v>38</v>
      </c>
      <c r="B5" s="11" t="n">
        <f>SUM(B3:B4)</f>
        <v>8</v>
      </c>
      <c r="C5" s="11" t="n">
        <f>SUM(C3:C4)</f>
        <v>0</v>
      </c>
      <c r="D5" s="11" t="n">
        <f>SUM(D3:D4)</f>
        <v>8.5</v>
      </c>
      <c r="E5" s="11" t="n">
        <f>SUM(E3:E4)</f>
        <v>4.5</v>
      </c>
      <c r="F5" s="11" t="n">
        <f>SUM(F3:F4)</f>
        <v>5.7</v>
      </c>
      <c r="G5" s="11" t="n">
        <f>SUM(G3:G4)</f>
        <v>0</v>
      </c>
      <c r="H5" s="11" t="n">
        <f>SUM(H3:H4)</f>
        <v>9</v>
      </c>
      <c r="I5" s="11" t="n">
        <f>SUM(I3:I4)</f>
        <v>5</v>
      </c>
      <c r="J5" s="11" t="n">
        <f>SUM(J3:J4)</f>
        <v>11</v>
      </c>
      <c r="K5" s="11" t="n">
        <f>SUM(K3:K4)</f>
        <v>6</v>
      </c>
      <c r="L5" s="11" t="n">
        <f>SUM(L3:L4)</f>
        <v>0</v>
      </c>
      <c r="M5" s="11" t="n">
        <f>SUM(M3:M4)</f>
        <v>0</v>
      </c>
      <c r="N5" s="11" t="n">
        <f>SUM(N3:N4)</f>
        <v>0</v>
      </c>
      <c r="O5" s="11" t="n">
        <f>SUM(O3:O4)</f>
        <v>16.5</v>
      </c>
      <c r="P5" s="11" t="n">
        <f>SUM(P3:P4)</f>
        <v>3.5</v>
      </c>
      <c r="Q5" s="11" t="n">
        <f>SUM(Q3:Q4)</f>
        <v>0</v>
      </c>
      <c r="R5" s="11" t="n">
        <f>SUM(R3:R4)</f>
        <v>0</v>
      </c>
      <c r="S5" s="11" t="n">
        <f>SUM(S3:S4)</f>
        <v>0</v>
      </c>
      <c r="T5" s="11" t="n">
        <f>SUM(B5:S5)</f>
        <v>77.7</v>
      </c>
      <c r="U5" s="15"/>
      <c r="V5" s="62" t="s">
        <v>39</v>
      </c>
      <c r="W5" s="62" t="n">
        <v>0</v>
      </c>
      <c r="X5" s="62" t="n">
        <v>1</v>
      </c>
      <c r="Y5" s="62" t="n">
        <v>2</v>
      </c>
      <c r="Z5" s="62" t="n">
        <f>SUM(W5:Y5)</f>
        <v>3</v>
      </c>
      <c r="AA5" s="62" t="s">
        <v>30</v>
      </c>
      <c r="AB5" s="62"/>
      <c r="AC5" s="62" t="s">
        <v>40</v>
      </c>
      <c r="AD5" s="62" t="b">
        <v>1</v>
      </c>
    </row>
    <row r="6" ht="16.5" customHeight="1">
      <c r="M6" s="15"/>
      <c r="N6" s="16"/>
      <c r="O6" s="16"/>
      <c r="P6" s="16"/>
      <c r="Q6" s="16"/>
      <c r="R6" s="16"/>
      <c r="S6" s="15"/>
      <c r="T6" s="15"/>
      <c r="U6" s="15"/>
      <c r="V6" s="62" t="s">
        <v>41</v>
      </c>
      <c r="W6" s="62" t="n">
        <v>0</v>
      </c>
      <c r="X6" s="62" t="n">
        <v>0</v>
      </c>
      <c r="Y6" s="62" t="n">
        <v>0</v>
      </c>
      <c r="Z6" s="62" t="n">
        <f>SUM(W6:Y6)</f>
        <v>0</v>
      </c>
      <c r="AA6" s="62" t="s">
        <v>30</v>
      </c>
      <c r="AB6" s="62"/>
      <c r="AC6" s="62" t="s">
        <v>42</v>
      </c>
      <c r="AD6" s="62" t="b">
        <v>1</v>
      </c>
    </row>
    <row r="7" ht="16.5" customHeight="1">
      <c r="M7" s="15"/>
      <c r="N7" s="16"/>
      <c r="O7" s="16"/>
      <c r="P7" s="16"/>
      <c r="Q7" s="16"/>
      <c r="R7" s="16"/>
      <c r="S7" s="15"/>
      <c r="T7" s="15"/>
      <c r="U7" s="15"/>
      <c r="V7" s="62" t="s">
        <v>43</v>
      </c>
      <c r="W7" s="62" t="n">
        <v>0</v>
      </c>
      <c r="X7" s="63" t="n">
        <v>1</v>
      </c>
      <c r="Y7" s="62" t="n">
        <v>0</v>
      </c>
      <c r="Z7" s="62" t="n">
        <f>SUM(W7:Y7)</f>
        <v>1</v>
      </c>
      <c r="AA7" s="62" t="s">
        <v>30</v>
      </c>
      <c r="AB7" s="64"/>
      <c r="AC7" s="63" t="s">
        <v>44</v>
      </c>
      <c r="AD7" s="62" t="b">
        <v>1</v>
      </c>
    </row>
    <row r="8" ht="16.5" customHeight="1">
      <c r="U8" s="6"/>
      <c r="V8" s="62" t="s">
        <v>45</v>
      </c>
      <c r="W8" s="62" t="n">
        <v>2</v>
      </c>
      <c r="X8" s="63"/>
      <c r="Y8" s="62" t="n">
        <v>1</v>
      </c>
      <c r="Z8" s="63"/>
      <c r="AA8" s="62" t="s">
        <v>30</v>
      </c>
      <c r="AB8" s="64"/>
      <c r="AC8" s="62" t="s">
        <v>40</v>
      </c>
      <c r="AD8" s="62"/>
    </row>
    <row r="9" ht="16.5" customHeight="1">
      <c r="U9" s="6"/>
      <c r="V9" s="62" t="s">
        <v>46</v>
      </c>
      <c r="W9" s="62" t="n">
        <v>2</v>
      </c>
      <c r="X9" s="63"/>
      <c r="Y9" s="62" t="n">
        <v>0</v>
      </c>
      <c r="Z9" s="63"/>
      <c r="AA9" s="62"/>
      <c r="AB9" s="64"/>
      <c r="AC9" s="62" t="s">
        <v>42</v>
      </c>
      <c r="AD9" s="62"/>
    </row>
    <row r="10" ht="16.5" customHeight="1">
      <c r="U10" s="6"/>
      <c r="V10" s="62"/>
      <c r="W10" s="62"/>
      <c r="X10" s="63"/>
      <c r="Y10" s="63"/>
      <c r="Z10" s="63"/>
      <c r="AA10" s="62"/>
      <c r="AB10" s="64"/>
      <c r="AC10" s="62"/>
      <c r="AD10" s="62"/>
    </row>
    <row r="11" ht="16.5" customHeight="1">
      <c r="U11" s="6"/>
      <c r="V11" s="62"/>
      <c r="W11" s="62"/>
      <c r="X11" s="63"/>
      <c r="Y11" s="63"/>
      <c r="Z11" s="63"/>
      <c r="AA11" s="62"/>
      <c r="AB11" s="64"/>
      <c r="AC11" s="62"/>
      <c r="AD11" s="62"/>
    </row>
    <row r="12" ht="16.5" customHeight="1">
      <c r="U12" s="6"/>
      <c r="V12" s="65" t="s">
        <v>47</v>
      </c>
      <c r="W12" s="65" t="n">
        <f>SUM(W2:W11)</f>
        <v>16</v>
      </c>
      <c r="X12" s="65" t="n">
        <f>SUM(X2:X11)</f>
        <v>3</v>
      </c>
      <c r="Y12" s="65" t="n">
        <f>SUM(Y2:Y11)</f>
        <v>7.5</v>
      </c>
      <c r="Z12" s="65" t="n">
        <f>SUM(Z2:Z11)</f>
        <v>21.5</v>
      </c>
      <c r="AA12" s="65"/>
      <c r="AB12" s="65"/>
      <c r="AC12" s="65"/>
      <c r="AD12" s="65"/>
    </row>
    <row r="13" ht="16.5" customHeight="1">
      <c r="A13" s="7" t="s">
        <v>48</v>
      </c>
      <c r="B13" s="13"/>
      <c r="C13" s="13"/>
      <c r="D13" s="13"/>
      <c r="E13" s="13"/>
      <c r="F13" s="13"/>
      <c r="U13" s="6"/>
      <c r="V13" s="62" t="s">
        <v>49</v>
      </c>
      <c r="W13" s="62" t="n">
        <f>B5</f>
        <v>8</v>
      </c>
      <c r="X13" s="62" t="n">
        <f>F5</f>
        <v>5.7</v>
      </c>
      <c r="Y13" s="62" t="n">
        <f>D5</f>
        <v>8.5</v>
      </c>
      <c r="Z13" s="62"/>
      <c r="AA13" s="62"/>
      <c r="AB13" s="62"/>
      <c r="AC13" s="62"/>
      <c r="AD13" s="62"/>
    </row>
    <row r="14" ht="16.5" customHeight="1">
      <c r="A14" s="8" t="s">
        <v>50</v>
      </c>
      <c r="B14" s="8" t="s">
        <v>51</v>
      </c>
      <c r="C14" s="8" t="s">
        <v>52</v>
      </c>
      <c r="D14" s="8" t="s">
        <v>53</v>
      </c>
      <c r="E14" s="8" t="s">
        <v>54</v>
      </c>
      <c r="F14" s="8" t="s">
        <v>55</v>
      </c>
      <c r="M14" s="15"/>
      <c r="N14" s="16"/>
      <c r="O14" s="16"/>
      <c r="P14" s="16"/>
      <c r="U14" s="6"/>
      <c r="V14" s="66" t="s">
        <v>56</v>
      </c>
      <c r="W14" s="66" t="n">
        <f>SUM(W12:W13)</f>
        <v>24</v>
      </c>
      <c r="X14" s="66" t="n">
        <f>SUM(X12:X13)</f>
        <v>8.7</v>
      </c>
      <c r="Y14" s="66" t="n">
        <f>SUM(Y12:Y13)</f>
        <v>16</v>
      </c>
      <c r="Z14" s="66"/>
      <c r="AA14" s="66"/>
      <c r="AB14" s="66"/>
      <c r="AC14" s="66"/>
      <c r="AD14" s="66"/>
    </row>
    <row r="15" ht="16.5" customHeight="1">
      <c r="A15" s="50" t="n">
        <v>8.1</v>
      </c>
      <c r="B15" s="51" t="n">
        <v>8.13</v>
      </c>
      <c r="C15" s="52" t="n">
        <v>25</v>
      </c>
      <c r="D15" s="52" t="n">
        <v>3</v>
      </c>
      <c r="E15" s="53" t="n">
        <f>SUM(C15:D15)</f>
        <v>28</v>
      </c>
      <c r="F15" s="10" t="b">
        <v>1</v>
      </c>
      <c r="M15" s="15"/>
      <c r="N15" s="16"/>
      <c r="O15" s="16"/>
      <c r="P15" s="16"/>
      <c r="U15" s="6"/>
      <c r="V15" s="5"/>
      <c r="W15" s="5"/>
      <c r="X15" s="5"/>
      <c r="Y15" s="5"/>
      <c r="Z15" s="5"/>
      <c r="AA15" s="5"/>
      <c r="AB15" s="5"/>
      <c r="AC15" s="5"/>
      <c r="AD15" s="5"/>
    </row>
    <row r="16" ht="16.5" customHeight="1">
      <c r="A16" s="85" t="s">
        <v>57</v>
      </c>
      <c r="B16" s="5"/>
      <c r="C16" s="5"/>
      <c r="D16" s="5"/>
      <c r="E16" s="5"/>
      <c r="F16" s="5"/>
      <c r="U16" s="6"/>
    </row>
    <row r="17" ht="16.5" customHeight="1">
      <c r="A17" s="48"/>
      <c r="B17" s="5"/>
      <c r="C17" s="5"/>
      <c r="D17" s="5"/>
      <c r="E17" s="5"/>
      <c r="F17" s="5"/>
      <c r="U17" s="6"/>
    </row>
    <row r="18" ht="16.5" customHeight="1">
      <c r="A18" s="48"/>
      <c r="B18" s="5"/>
      <c r="C18" s="5"/>
      <c r="D18" s="5"/>
      <c r="E18" s="5"/>
      <c r="F18" s="5"/>
      <c r="U18" s="6"/>
    </row>
    <row r="19" ht="16.5" customHeight="1">
      <c r="A19" s="48"/>
      <c r="B19" s="5"/>
      <c r="C19" s="5"/>
      <c r="D19" s="5"/>
      <c r="E19" s="5"/>
      <c r="F19" s="5"/>
      <c r="U19" s="6"/>
    </row>
    <row r="20" ht="16.5" customHeight="1">
      <c r="U20" s="6"/>
      <c r="Y20" s="6" t="s">
        <v>58</v>
      </c>
    </row>
    <row r="21" ht="16.5" customHeight="1">
      <c r="U21" s="6"/>
    </row>
    <row r="22" ht="16.5" customHeight="1">
      <c r="U22" s="6"/>
    </row>
    <row r="23" ht="16.5" customHeight="1">
      <c r="U23" s="6"/>
    </row>
    <row r="24" ht="16.5" customHeight="1">
      <c r="U24" s="6"/>
    </row>
    <row r="25" ht="16.5" customHeight="1">
      <c r="U25" s="6"/>
    </row>
    <row r="26" ht="16.5" customHeight="1">
      <c r="U26" s="6"/>
    </row>
    <row r="27" ht="16.5" customHeight="1">
      <c r="O27" s="17"/>
      <c r="P27" s="17"/>
      <c r="U27" s="6"/>
    </row>
  </sheetData>
  <mergeCells count="11">
    <mergeCell ref="D1:E1"/>
    <mergeCell ref="Q1:S1"/>
    <mergeCell ref="M1:N1"/>
    <mergeCell ref="B1:C1"/>
    <mergeCell ref="H1:L1"/>
    <mergeCell ref="F1:G1"/>
    <mergeCell ref="T1:T2"/>
    <mergeCell ref="A1:A2"/>
    <mergeCell ref="O1:P1"/>
    <mergeCell ref="A13:F13"/>
    <mergeCell ref="A16:F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1" activePane="bottomRight" state="frozen" xSplit="1"/>
    </sheetView>
  </sheetViews>
  <sheetFormatPr baseColWidth="10" defaultColWidth="9.9990234375" defaultRowHeight="16.5" customHeight="1"/>
  <cols>
    <col min="1" max="1" width="22.125" customWidth="1"/>
  </cols>
  <sheetData>
    <row r="1" ht="16.5" customHeight="1">
      <c r="A1" s="76" t="s">
        <v>59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5"/>
      <c r="AG1" s="75"/>
      <c r="AH1" s="75"/>
      <c r="AI1" s="75"/>
      <c r="AJ1" s="75"/>
      <c r="AK1" s="75"/>
      <c r="AL1" s="75"/>
      <c r="AM1" s="75"/>
    </row>
    <row r="2" ht="41.25" customHeight="1">
      <c r="A2" s="77" t="s">
        <v>60</v>
      </c>
      <c r="B2" s="26" t="s">
        <v>61</v>
      </c>
      <c r="C2" s="26" t="s">
        <v>62</v>
      </c>
      <c r="D2" s="26" t="s">
        <v>63</v>
      </c>
      <c r="E2" s="26" t="s">
        <v>64</v>
      </c>
      <c r="F2" s="26" t="s">
        <v>65</v>
      </c>
      <c r="G2" s="26" t="s">
        <v>66</v>
      </c>
      <c r="H2" s="26" t="s">
        <v>67</v>
      </c>
      <c r="I2" s="26" t="s">
        <v>68</v>
      </c>
      <c r="J2" s="26" t="s">
        <v>69</v>
      </c>
      <c r="K2" s="26" t="s">
        <v>70</v>
      </c>
      <c r="L2" s="26" t="s">
        <v>71</v>
      </c>
      <c r="M2" s="26" t="s">
        <v>72</v>
      </c>
      <c r="N2" s="26" t="s">
        <v>73</v>
      </c>
      <c r="O2" s="26" t="s">
        <v>74</v>
      </c>
      <c r="P2" s="26" t="s">
        <v>75</v>
      </c>
      <c r="Q2" s="26" t="s">
        <v>76</v>
      </c>
      <c r="R2" s="26" t="s">
        <v>77</v>
      </c>
      <c r="S2" s="26" t="s">
        <v>78</v>
      </c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5"/>
      <c r="AG2" s="75"/>
      <c r="AH2" s="75"/>
      <c r="AI2" s="75"/>
      <c r="AJ2" s="75"/>
      <c r="AK2" s="75"/>
      <c r="AL2" s="75"/>
      <c r="AM2" s="75"/>
    </row>
    <row r="3" ht="16.5" customHeight="1">
      <c r="A3" s="78" t="s">
        <v>79</v>
      </c>
      <c r="B3" s="84" t="n">
        <f>IF(B$2="测试部-应用软件测试-云服务",SUMIFS('人力工时数据'!$D:$D,'人力工时数据'!$H:$H,"户用及分布式监控",'人力工时数据'!$B:$B,B$2),SUMIFS('人力工时数据'!$C:$C,'人力工时数据'!$H:$H,"户用及分布式监控",'人力工时数据'!$B:$B,B$2)+IF(LEFT(B$2,4)="中台开发",SUMIFS('人力工时数据'!$E:$E,'人力工时数据'!$H:$H,"户用及分布式监控",'人力工时数据'!$B:$B,B$2),0))</f>
        <v>56</v>
      </c>
      <c r="C3" s="79" t="n">
        <f>IF(C$2="测试部-应用软件测试-云服务",SUMIFS('人力工时数据'!$D:$D,'人力工时数据'!$H:$H,"户用及分布式监控",'人力工时数据'!$B:$B,C$2),SUMIFS('人力工时数据'!$C:$C,'人力工时数据'!$H:$H,"户用及分布式监控",'人力工时数据'!$B:$B,C$2)+IF(LEFT(C$2,4)="中台开发",SUMIFS('人力工时数据'!$E:$E,'人力工时数据'!$H:$H,"户用及分布式监控",'人力工时数据'!$B:$B,C$2),0))</f>
        <v>0</v>
      </c>
      <c r="D3" s="79" t="n">
        <f>IF(D$2="测试部-应用软件测试-云服务",SUMIFS('人力工时数据'!$D:$D,'人力工时数据'!$H:$H,"户用及分布式监控",'人力工时数据'!$B:$B,D$2),SUMIFS('人力工时数据'!$C:$C,'人力工时数据'!$H:$H,"户用及分布式监控",'人力工时数据'!$B:$B,D$2)+IF(LEFT(D$2,4)="中台开发",SUMIFS('人力工时数据'!$E:$E,'人力工时数据'!$H:$H,"户用及分布式监控",'人力工时数据'!$B:$B,D$2),0))</f>
        <v>137.6</v>
      </c>
      <c r="E3" s="79" t="n">
        <f>IF(E$2="测试部-应用软件测试-云服务",SUMIFS('人力工时数据'!$D:$D,'人力工时数据'!$H:$H,"户用及分布式监控",'人力工时数据'!$B:$B,E$2),SUMIFS('人力工时数据'!$C:$C,'人力工时数据'!$H:$H,"户用及分布式监控",'人力工时数据'!$B:$B,E$2)+IF(LEFT(E$2,4)="中台开发",SUMIFS('人力工时数据'!$E:$E,'人力工时数据'!$H:$H,"户用及分布式监控",'人力工时数据'!$B:$B,E$2),0))</f>
        <v>19</v>
      </c>
      <c r="F3" s="79" t="n">
        <f>IF(F$2="测试部-应用软件测试-云服务",SUMIFS('人力工时数据'!$D:$D,'人力工时数据'!$H:$H,"户用及分布式监控",'人力工时数据'!$B:$B,F$2),SUMIFS('人力工时数据'!$C:$C,'人力工时数据'!$H:$H,"户用及分布式监控",'人力工时数据'!$B:$B,F$2)+IF(LEFT(F$2,4)="中台开发",SUMIFS('人力工时数据'!$E:$E,'人力工时数据'!$H:$H,"户用及分布式监控",'人力工时数据'!$B:$B,F$2),0))</f>
        <v>56.5</v>
      </c>
      <c r="G3" s="79" t="n">
        <f>IF(G$2="测试部-应用软件测试-云服务",SUMIFS('人力工时数据'!$D:$D,'人力工时数据'!$H:$H,"户用及分布式监控",'人力工时数据'!$B:$B,G$2),SUMIFS('人力工时数据'!$C:$C,'人力工时数据'!$H:$H,"户用及分布式监控",'人力工时数据'!$B:$B,G$2)+IF(LEFT(G$2,4)="中台开发",SUMIFS('人力工时数据'!$E:$E,'人力工时数据'!$H:$H,"户用及分布式监控",'人力工时数据'!$B:$B,G$2),0))</f>
        <v>0</v>
      </c>
      <c r="H3" s="79" t="n">
        <f>IF(H$2="测试部-应用软件测试-云服务",SUMIFS('人力工时数据'!$D:$D,'人力工时数据'!$H:$H,"户用及分布式监控",'人力工时数据'!$B:$B,H$2),SUMIFS('人力工时数据'!$C:$C,'人力工时数据'!$H:$H,"户用及分布式监控",'人力工时数据'!$B:$B,H$2)+IF(LEFT(H$2,4)="中台开发",SUMIFS('人力工时数据'!$E:$E,'人力工时数据'!$H:$H,"户用及分布式监控",'人力工时数据'!$B:$B,H$2),0))</f>
        <v>39</v>
      </c>
      <c r="I3" s="79" t="n">
        <f>IF(I$2="测试部-应用软件测试-云服务",SUMIFS('人力工时数据'!$D:$D,'人力工时数据'!$H:$H,"户用及分布式监控",'人力工时数据'!$B:$B,I$2),SUMIFS('人力工时数据'!$C:$C,'人力工时数据'!$H:$H,"户用及分布式监控",'人力工时数据'!$B:$B,I$2)+IF(LEFT(I$2,4)="中台开发",SUMIFS('人力工时数据'!$E:$E,'人力工时数据'!$H:$H,"户用及分布式监控",'人力工时数据'!$B:$B,I$2),0))</f>
        <v>0</v>
      </c>
      <c r="J3" s="79" t="n">
        <f>IF(J$2="测试部-应用软件测试-云服务",SUMIFS('人力工时数据'!$D:$D,'人力工时数据'!$H:$H,"户用及分布式监控",'人力工时数据'!$B:$B,J$2),SUMIFS('人力工时数据'!$C:$C,'人力工时数据'!$H:$H,"户用及分布式监控",'人力工时数据'!$B:$B,J$2)+IF(LEFT(J$2,4)="中台开发",SUMIFS('人力工时数据'!$E:$E,'人力工时数据'!$H:$H,"户用及分布式监控",'人力工时数据'!$B:$B,J$2),0))</f>
        <v>33</v>
      </c>
      <c r="K3" s="79" t="n">
        <f>IF(K$2="测试部-应用软件测试-云服务",SUMIFS('人力工时数据'!$D:$D,'人力工时数据'!$H:$H,"户用及分布式监控",'人力工时数据'!$B:$B,K$2),SUMIFS('人力工时数据'!$C:$C,'人力工时数据'!$H:$H,"户用及分布式监控",'人力工时数据'!$B:$B,K$2)+IF(LEFT(K$2,4)="中台开发",SUMIFS('人力工时数据'!$E:$E,'人力工时数据'!$H:$H,"户用及分布式监控",'人力工时数据'!$B:$B,K$2),0))</f>
        <v>37</v>
      </c>
      <c r="L3" s="79" t="n">
        <f>IF(L$2="测试部-应用软件测试-云服务",SUMIFS('人力工时数据'!$D:$D,'人力工时数据'!$H:$H,"户用及分布式监控",'人力工时数据'!$B:$B,L$2),SUMIFS('人力工时数据'!$C:$C,'人力工时数据'!$H:$H,"户用及分布式监控",'人力工时数据'!$B:$B,L$2)+IF(LEFT(L$2,4)="中台开发",SUMIFS('人力工时数据'!$E:$E,'人力工时数据'!$H:$H,"户用及分布式监控",'人力工时数据'!$B:$B,L$2),0))</f>
        <v>0</v>
      </c>
      <c r="M3" s="79" t="n">
        <f>IF(M$2="测试部-应用软件测试-云服务",SUMIFS('人力工时数据'!$D:$D,'人力工时数据'!$H:$H,"户用及分布式监控",'人力工时数据'!$B:$B,M$2),SUMIFS('人力工时数据'!$C:$C,'人力工时数据'!$H:$H,"户用及分布式监控",'人力工时数据'!$B:$B,M$2)+IF(LEFT(M$2,4)="中台开发",SUMIFS('人力工时数据'!$E:$E,'人力工时数据'!$H:$H,"户用及分布式监控",'人力工时数据'!$B:$B,M$2),0))</f>
        <v>0</v>
      </c>
      <c r="N3" s="79" t="n">
        <f>IF(N$2="测试部-应用软件测试-云服务",SUMIFS('人力工时数据'!$D:$D,'人力工时数据'!$H:$H,"户用及分布式监控",'人力工时数据'!$B:$B,N$2),SUMIFS('人力工时数据'!$C:$C,'人力工时数据'!$H:$H,"户用及分布式监控",'人力工时数据'!$B:$B,N$2)+IF(LEFT(N$2,4)="中台开发",SUMIFS('人力工时数据'!$E:$E,'人力工时数据'!$H:$H,"户用及分布式监控",'人力工时数据'!$B:$B,N$2),0))</f>
        <v>125</v>
      </c>
      <c r="O3" s="79" t="n">
        <f>IF(O$2="测试部-应用软件测试-云服务",SUMIFS('人力工时数据'!$D:$D,'人力工时数据'!$H:$H,"户用及分布式监控",'人力工时数据'!$B:$B,O$2),SUMIFS('人力工时数据'!$C:$C,'人力工时数据'!$H:$H,"户用及分布式监控",'人力工时数据'!$B:$B,O$2)+IF(LEFT(O$2,4)="中台开发",SUMIFS('人力工时数据'!$E:$E,'人力工时数据'!$H:$H,"户用及分布式监控",'人力工时数据'!$B:$B,O$2),0))</f>
        <v>40</v>
      </c>
      <c r="P3" s="79" t="n">
        <f>IF(P$2="测试部-应用软件测试-云服务",SUMIFS('人力工时数据'!$D:$D,'人力工时数据'!$H:$H,"户用及分布式监控",'人力工时数据'!$B:$B,P$2),SUMIFS('人力工时数据'!$C:$C,'人力工时数据'!$H:$H,"户用及分布式监控",'人力工时数据'!$B:$B,P$2)+IF(LEFT(P$2,4)="中台开发",SUMIFS('人力工时数据'!$E:$E,'人力工时数据'!$H:$H,"户用及分布式监控",'人力工时数据'!$B:$B,P$2),0))</f>
        <v>0</v>
      </c>
      <c r="Q3" s="79" t="n">
        <f>IF(Q$2="测试部-应用软件测试-云服务",SUMIFS('人力工时数据'!$D:$D,'人力工时数据'!$H:$H,"户用及分布式监控",'人力工时数据'!$B:$B,Q$2),SUMIFS('人力工时数据'!$C:$C,'人力工时数据'!$H:$H,"户用及分布式监控",'人力工时数据'!$B:$B,Q$2)+IF(LEFT(Q$2,4)="中台开发",SUMIFS('人力工时数据'!$E:$E,'人力工时数据'!$H:$H,"户用及分布式监控",'人力工时数据'!$B:$B,Q$2),0))</f>
        <v>0</v>
      </c>
      <c r="R3" s="79" t="n">
        <f>IF(R$2="测试部-应用软件测试-云服务",SUMIFS('人力工时数据'!$D:$D,'人力工时数据'!$H:$H,"户用及分布式监控",'人力工时数据'!$B:$B,R$2),SUMIFS('人力工时数据'!$C:$C,'人力工时数据'!$H:$H,"户用及分布式监控",'人力工时数据'!$B:$B,R$2)+IF(LEFT(R$2,4)="中台开发",SUMIFS('人力工时数据'!$E:$E,'人力工时数据'!$H:$H,"户用及分布式监控",'人力工时数据'!$B:$B,R$2),0))</f>
        <v>0</v>
      </c>
      <c r="S3" s="80" t="n">
        <f>SUM(B3:R3)</f>
        <v>543.1</v>
      </c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5"/>
      <c r="AG3" s="75"/>
      <c r="AH3" s="75"/>
      <c r="AI3" s="75"/>
      <c r="AJ3" s="75"/>
      <c r="AK3" s="75"/>
      <c r="AL3" s="75"/>
      <c r="AM3" s="75"/>
    </row>
    <row r="4" ht="16.5" customHeight="1">
      <c r="A4" s="78" t="s">
        <v>80</v>
      </c>
      <c r="B4" s="84" t="n">
        <f>IF(B$2="测试部-应用软件测试-云服务",SUMIFS('人力工时数据'!$D:$D,'人力工时数据'!$H:$H,"储能及地面监控",'人力工时数据'!$B:$B,B$2),SUMIFS('人力工时数据'!$C:$C,'人力工时数据'!$H:$H,"储能及地面监控",'人力工时数据'!$B:$B,B$2)+IF(LEFT(B$2,4)="中台开发",SUMIFS('人力工时数据'!$E:$E,'人力工时数据'!$H:$H,"储能及地面监控",'人力工时数据'!$B:$B,B$2),0))</f>
        <v>47</v>
      </c>
      <c r="C4" s="84" t="n">
        <f>IF(C$2="测试部-应用软件测试-云服务",SUMIFS('人力工时数据'!$D:$D,'人力工时数据'!$H:$H,"储能及地面监控",'人力工时数据'!$B:$B,C$2),SUMIFS('人力工时数据'!$C:$C,'人力工时数据'!$H:$H,"储能及地面监控",'人力工时数据'!$B:$B,C$2)+IF(LEFT(C$2,4)="中台开发",SUMIFS('人力工时数据'!$E:$E,'人力工时数据'!$H:$H,"储能及地面监控",'人力工时数据'!$B:$B,C$2),0))</f>
        <v>0</v>
      </c>
      <c r="D4" s="84" t="n">
        <f>IF(D$2="测试部-应用软件测试-云服务",SUMIFS('人力工时数据'!$D:$D,'人力工时数据'!$H:$H,"储能及地面监控",'人力工时数据'!$B:$B,D$2),SUMIFS('人力工时数据'!$C:$C,'人力工时数据'!$H:$H,"储能及地面监控",'人力工时数据'!$B:$B,D$2)+IF(LEFT(D$2,4)="中台开发",SUMIFS('人力工时数据'!$E:$E,'人力工时数据'!$H:$H,"储能及地面监控",'人力工时数据'!$B:$B,D$2),0))</f>
        <v>46</v>
      </c>
      <c r="E4" s="84" t="n">
        <f>IF(E$2="测试部-应用软件测试-云服务",SUMIFS('人力工时数据'!$D:$D,'人力工时数据'!$H:$H,"储能及地面监控",'人力工时数据'!$B:$B,E$2),SUMIFS('人力工时数据'!$C:$C,'人力工时数据'!$H:$H,"储能及地面监控",'人力工时数据'!$B:$B,E$2)+IF(LEFT(E$2,4)="中台开发",SUMIFS('人力工时数据'!$E:$E,'人力工时数据'!$H:$H,"储能及地面监控",'人力工时数据'!$B:$B,E$2),0))</f>
        <v>1</v>
      </c>
      <c r="F4" s="84" t="n">
        <f>IF(F$2="测试部-应用软件测试-云服务",SUMIFS('人力工时数据'!$D:$D,'人力工时数据'!$H:$H,"储能及地面监控",'人力工时数据'!$B:$B,F$2),SUMIFS('人力工时数据'!$C:$C,'人力工时数据'!$H:$H,"储能及地面监控",'人力工时数据'!$B:$B,F$2)+IF(LEFT(F$2,4)="中台开发",SUMIFS('人力工时数据'!$E:$E,'人力工时数据'!$H:$H,"储能及地面监控",'人力工时数据'!$B:$B,F$2),0))</f>
        <v>15</v>
      </c>
      <c r="G4" s="84" t="n">
        <f>IF(G$2="测试部-应用软件测试-云服务",SUMIFS('人力工时数据'!$D:$D,'人力工时数据'!$H:$H,"储能及地面监控",'人力工时数据'!$B:$B,G$2),SUMIFS('人力工时数据'!$C:$C,'人力工时数据'!$H:$H,"储能及地面监控",'人力工时数据'!$B:$B,G$2)+IF(LEFT(G$2,4)="中台开发",SUMIFS('人力工时数据'!$E:$E,'人力工时数据'!$H:$H,"储能及地面监控",'人力工时数据'!$B:$B,G$2),0))</f>
        <v>0</v>
      </c>
      <c r="H4" s="84" t="n">
        <f>IF(H$2="测试部-应用软件测试-云服务",SUMIFS('人力工时数据'!$D:$D,'人力工时数据'!$H:$H,"储能及地面监控",'人力工时数据'!$B:$B,H$2),SUMIFS('人力工时数据'!$C:$C,'人力工时数据'!$H:$H,"储能及地面监控",'人力工时数据'!$B:$B,H$2)+IF(LEFT(H$2,4)="中台开发",SUMIFS('人力工时数据'!$E:$E,'人力工时数据'!$H:$H,"储能及地面监控",'人力工时数据'!$B:$B,H$2),0))</f>
        <v>2</v>
      </c>
      <c r="I4" s="84" t="n">
        <f>IF(I$2="测试部-应用软件测试-云服务",SUMIFS('人力工时数据'!$D:$D,'人力工时数据'!$H:$H,"储能及地面监控",'人力工时数据'!$B:$B,I$2),SUMIFS('人力工时数据'!$C:$C,'人力工时数据'!$H:$H,"储能及地面监控",'人力工时数据'!$B:$B,I$2)+IF(LEFT(I$2,4)="中台开发",SUMIFS('人力工时数据'!$E:$E,'人力工时数据'!$H:$H,"储能及地面监控",'人力工时数据'!$B:$B,I$2),0))</f>
        <v>0</v>
      </c>
      <c r="J4" s="84" t="n">
        <f>IF(J$2="测试部-应用软件测试-云服务",SUMIFS('人力工时数据'!$D:$D,'人力工时数据'!$H:$H,"储能及地面监控",'人力工时数据'!$B:$B,J$2),SUMIFS('人力工时数据'!$C:$C,'人力工时数据'!$H:$H,"储能及地面监控",'人力工时数据'!$B:$B,J$2)+IF(LEFT(J$2,4)="中台开发",SUMIFS('人力工时数据'!$E:$E,'人力工时数据'!$H:$H,"储能及地面监控",'人力工时数据'!$B:$B,J$2),0))</f>
        <v>16</v>
      </c>
      <c r="K4" s="84" t="n">
        <f>IF(K$2="测试部-应用软件测试-云服务",SUMIFS('人力工时数据'!$D:$D,'人力工时数据'!$H:$H,"储能及地面监控",'人力工时数据'!$B:$B,K$2),SUMIFS('人力工时数据'!$C:$C,'人力工时数据'!$H:$H,"储能及地面监控",'人力工时数据'!$B:$B,K$2)+IF(LEFT(K$2,4)="中台开发",SUMIFS('人力工时数据'!$E:$E,'人力工时数据'!$H:$H,"储能及地面监控",'人力工时数据'!$B:$B,K$2),0))</f>
        <v>5</v>
      </c>
      <c r="L4" s="84" t="n">
        <f>IF(L$2="测试部-应用软件测试-云服务",SUMIFS('人力工时数据'!$D:$D,'人力工时数据'!$H:$H,"储能及地面监控",'人力工时数据'!$B:$B,L$2),SUMIFS('人力工时数据'!$C:$C,'人力工时数据'!$H:$H,"储能及地面监控",'人力工时数据'!$B:$B,L$2)+IF(LEFT(L$2,4)="中台开发",SUMIFS('人力工时数据'!$E:$E,'人力工时数据'!$H:$H,"储能及地面监控",'人力工时数据'!$B:$B,L$2),0))</f>
        <v>0</v>
      </c>
      <c r="M4" s="84" t="n">
        <f>IF(M$2="测试部-应用软件测试-云服务",SUMIFS('人力工时数据'!$D:$D,'人力工时数据'!$H:$H,"储能及地面监控",'人力工时数据'!$B:$B,M$2),SUMIFS('人力工时数据'!$C:$C,'人力工时数据'!$H:$H,"储能及地面监控",'人力工时数据'!$B:$B,M$2)+IF(LEFT(M$2,4)="中台开发",SUMIFS('人力工时数据'!$E:$E,'人力工时数据'!$H:$H,"储能及地面监控",'人力工时数据'!$B:$B,M$2),0))</f>
        <v>0</v>
      </c>
      <c r="N4" s="84" t="n">
        <f>IF(N$2="测试部-应用软件测试-云服务",SUMIFS('人力工时数据'!$D:$D,'人力工时数据'!$H:$H,"储能及地面监控",'人力工时数据'!$B:$B,N$2),SUMIFS('人力工时数据'!$C:$C,'人力工时数据'!$H:$H,"储能及地面监控",'人力工时数据'!$B:$B,N$2)+IF(LEFT(N$2,4)="中台开发",SUMIFS('人力工时数据'!$E:$E,'人力工时数据'!$H:$H,"储能及地面监控",'人力工时数据'!$B:$B,N$2),0))</f>
        <v>66.5</v>
      </c>
      <c r="O4" s="84" t="n">
        <f>IF(O$2="测试部-应用软件测试-云服务",SUMIFS('人力工时数据'!$D:$D,'人力工时数据'!$H:$H,"储能及地面监控",'人力工时数据'!$B:$B,O$2),SUMIFS('人力工时数据'!$C:$C,'人力工时数据'!$H:$H,"储能及地面监控",'人力工时数据'!$B:$B,O$2)+IF(LEFT(O$2,4)="中台开发",SUMIFS('人力工时数据'!$E:$E,'人力工时数据'!$H:$H,"储能及地面监控",'人力工时数据'!$B:$B,O$2),0))</f>
        <v>5</v>
      </c>
      <c r="P4" s="84" t="n">
        <f>IF(P$2="测试部-应用软件测试-云服务",SUMIFS('人力工时数据'!$D:$D,'人力工时数据'!$H:$H,"储能及地面监控",'人力工时数据'!$B:$B,P$2),SUMIFS('人力工时数据'!$C:$C,'人力工时数据'!$H:$H,"储能及地面监控",'人力工时数据'!$B:$B,P$2)+IF(LEFT(P$2,4)="中台开发",SUMIFS('人力工时数据'!$E:$E,'人力工时数据'!$H:$H,"储能及地面监控",'人力工时数据'!$B:$B,P$2),0))</f>
        <v>0</v>
      </c>
      <c r="Q4" s="84" t="n">
        <f>IF(Q$2="测试部-应用软件测试-云服务",SUMIFS('人力工时数据'!$D:$D,'人力工时数据'!$H:$H,"储能及地面监控",'人力工时数据'!$B:$B,Q$2),SUMIFS('人力工时数据'!$C:$C,'人力工时数据'!$H:$H,"储能及地面监控",'人力工时数据'!$B:$B,Q$2)+IF(LEFT(Q$2,4)="中台开发",SUMIFS('人力工时数据'!$E:$E,'人力工时数据'!$H:$H,"储能及地面监控",'人力工时数据'!$B:$B,Q$2),0))</f>
        <v>0</v>
      </c>
      <c r="R4" s="84" t="n">
        <f>IF(R$2="测试部-应用软件测试-云服务",SUMIFS('人力工时数据'!$D:$D,'人力工时数据'!$H:$H,"储能及地面监控",'人力工时数据'!$B:$B,R$2),SUMIFS('人力工时数据'!$C:$C,'人力工时数据'!$H:$H,"储能及地面监控",'人力工时数据'!$B:$B,R$2)+IF(LEFT(R$2,4)="中台开发",SUMIFS('人力工时数据'!$E:$E,'人力工时数据'!$H:$H,"储能及地面监控",'人力工时数据'!$B:$B,R$2),0))</f>
        <v>0</v>
      </c>
      <c r="S4" s="80" t="n">
        <f>SUM(B4:R4)</f>
        <v>203.5</v>
      </c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5"/>
      <c r="AG4" s="75"/>
      <c r="AH4" s="75"/>
      <c r="AI4" s="75"/>
      <c r="AJ4" s="75"/>
      <c r="AK4" s="75"/>
      <c r="AL4" s="75"/>
      <c r="AM4" s="75"/>
    </row>
    <row r="5" ht="16.5" customHeight="1">
      <c r="A5" s="78" t="s">
        <v>81</v>
      </c>
      <c r="B5" s="79" t="n">
        <f>IF(B$2="测试部-应用软件测试-云服务",SUMIFS('人力工时数据'!$D:$D,'人力工时数据'!$H:$H,"工商业场景监控（临时）",'人力工时数据'!$B:$B,B$2),SUMIFS('人力工时数据'!$C:$C,'人力工时数据'!$H:$H,"工商业场景监控（临时）",'人力工时数据'!$B:$B,B$2)+IF(LEFT(B$2,4)="中台开发",SUMIFS('人力工时数据'!$E:$E,'人力工时数据'!$H:$H,"工商业场景监控（临时）",'人力工时数据'!$B:$B,B$2),0))</f>
        <v>9</v>
      </c>
      <c r="C5" s="79" t="n">
        <f>IF(C$2="测试部-应用软件测试-云服务",SUMIFS('人力工时数据'!$D:$D,'人力工时数据'!$H:$H,"工商业场景监控（临时）",'人力工时数据'!$B:$B,C$2),SUMIFS('人力工时数据'!$C:$C,'人力工时数据'!$H:$H,"工商业场景监控（临时）",'人力工时数据'!$B:$B,C$2)+IF(LEFT(C$2,4)="中台开发",SUMIFS('人力工时数据'!$E:$E,'人力工时数据'!$H:$H,"工商业场景监控（临时）",'人力工时数据'!$B:$B,C$2),0))</f>
        <v>0</v>
      </c>
      <c r="D5" s="79" t="n">
        <f>IF(D$2="测试部-应用软件测试-云服务",SUMIFS('人力工时数据'!$D:$D,'人力工时数据'!$H:$H,"工商业场景监控（临时）",'人力工时数据'!$B:$B,D$2),SUMIFS('人力工时数据'!$C:$C,'人力工时数据'!$H:$H,"工商业场景监控（临时）",'人力工时数据'!$B:$B,D$2)+IF(LEFT(D$2,4)="中台开发",SUMIFS('人力工时数据'!$E:$E,'人力工时数据'!$H:$H,"工商业场景监控（临时）",'人力工时数据'!$B:$B,D$2),0))</f>
        <v>4.5</v>
      </c>
      <c r="E5" s="79" t="n">
        <f>IF(E$2="测试部-应用软件测试-云服务",SUMIFS('人力工时数据'!$D:$D,'人力工时数据'!$H:$H,"工商业场景监控（临时）",'人力工时数据'!$B:$B,E$2),SUMIFS('人力工时数据'!$C:$C,'人力工时数据'!$H:$H,"工商业场景监控（临时）",'人力工时数据'!$B:$B,E$2)+IF(LEFT(E$2,4)="中台开发",SUMIFS('人力工时数据'!$E:$E,'人力工时数据'!$H:$H,"工商业场景监控（临时）",'人力工时数据'!$B:$B,E$2),0))</f>
        <v>3</v>
      </c>
      <c r="F5" s="79" t="n">
        <f>IF(F$2="测试部-应用软件测试-云服务",SUMIFS('人力工时数据'!$D:$D,'人力工时数据'!$H:$H,"工商业场景监控（临时）",'人力工时数据'!$B:$B,F$2),SUMIFS('人力工时数据'!$C:$C,'人力工时数据'!$H:$H,"工商业场景监控（临时）",'人力工时数据'!$B:$B,F$2)+IF(LEFT(F$2,4)="中台开发",SUMIFS('人力工时数据'!$E:$E,'人力工时数据'!$H:$H,"工商业场景监控（临时）",'人力工时数据'!$B:$B,F$2),0))</f>
        <v>3</v>
      </c>
      <c r="G5" s="79" t="n">
        <f>IF(G$2="测试部-应用软件测试-云服务",SUMIFS('人力工时数据'!$D:$D,'人力工时数据'!$H:$H,"工商业场景监控（临时）",'人力工时数据'!$B:$B,G$2),SUMIFS('人力工时数据'!$C:$C,'人力工时数据'!$H:$H,"工商业场景监控（临时）",'人力工时数据'!$B:$B,G$2)+IF(LEFT(G$2,4)="中台开发",SUMIFS('人力工时数据'!$E:$E,'人力工时数据'!$H:$H,"工商业场景监控（临时）",'人力工时数据'!$B:$B,G$2),0))</f>
        <v>0</v>
      </c>
      <c r="H5" s="79" t="n">
        <f>IF(H$2="测试部-应用软件测试-云服务",SUMIFS('人力工时数据'!$D:$D,'人力工时数据'!$H:$H,"工商业场景监控（临时）",'人力工时数据'!$B:$B,H$2),SUMIFS('人力工时数据'!$C:$C,'人力工时数据'!$H:$H,"工商业场景监控（临时）",'人力工时数据'!$B:$B,H$2)+IF(LEFT(H$2,4)="中台开发",SUMIFS('人力工时数据'!$E:$E,'人力工时数据'!$H:$H,"工商业场景监控（临时）",'人力工时数据'!$B:$B,H$2),0))</f>
        <v>9</v>
      </c>
      <c r="I5" s="79" t="n">
        <f>IF(I$2="测试部-应用软件测试-云服务",SUMIFS('人力工时数据'!$D:$D,'人力工时数据'!$H:$H,"工商业场景监控（临时）",'人力工时数据'!$B:$B,I$2),SUMIFS('人力工时数据'!$C:$C,'人力工时数据'!$H:$H,"工商业场景监控（临时）",'人力工时数据'!$B:$B,I$2)+IF(LEFT(I$2,4)="中台开发",SUMIFS('人力工时数据'!$E:$E,'人力工时数据'!$H:$H,"工商业场景监控（临时）",'人力工时数据'!$B:$B,I$2),0))</f>
        <v>0</v>
      </c>
      <c r="J5" s="79" t="n">
        <f>IF(J$2="测试部-应用软件测试-云服务",SUMIFS('人力工时数据'!$D:$D,'人力工时数据'!$H:$H,"工商业场景监控（临时）",'人力工时数据'!$B:$B,J$2),SUMIFS('人力工时数据'!$C:$C,'人力工时数据'!$H:$H,"工商业场景监控（临时）",'人力工时数据'!$B:$B,J$2)+IF(LEFT(J$2,4)="中台开发",SUMIFS('人力工时数据'!$E:$E,'人力工时数据'!$H:$H,"工商业场景监控（临时）",'人力工时数据'!$B:$B,J$2),0))</f>
        <v>5</v>
      </c>
      <c r="K5" s="79" t="n">
        <f>IF(K$2="测试部-应用软件测试-云服务",SUMIFS('人力工时数据'!$D:$D,'人力工时数据'!$H:$H,"工商业场景监控（临时）",'人力工时数据'!$B:$B,K$2),SUMIFS('人力工时数据'!$C:$C,'人力工时数据'!$H:$H,"工商业场景监控（临时）",'人力工时数据'!$B:$B,K$2)+IF(LEFT(K$2,4)="中台开发",SUMIFS('人力工时数据'!$E:$E,'人力工时数据'!$H:$H,"工商业场景监控（临时）",'人力工时数据'!$B:$B,K$2),0))</f>
        <v>0</v>
      </c>
      <c r="L5" s="79" t="n">
        <f>IF(L$2="测试部-应用软件测试-云服务",SUMIFS('人力工时数据'!$D:$D,'人力工时数据'!$H:$H,"工商业场景监控（临时）",'人力工时数据'!$B:$B,L$2),SUMIFS('人力工时数据'!$C:$C,'人力工时数据'!$H:$H,"工商业场景监控（临时）",'人力工时数据'!$B:$B,L$2)+IF(LEFT(L$2,4)="中台开发",SUMIFS('人力工时数据'!$E:$E,'人力工时数据'!$H:$H,"工商业场景监控（临时）",'人力工时数据'!$B:$B,L$2),0))</f>
        <v>0</v>
      </c>
      <c r="M5" s="79" t="n">
        <f>IF(M$2="测试部-应用软件测试-云服务",SUMIFS('人力工时数据'!$D:$D,'人力工时数据'!$H:$H,"工商业场景监控（临时）",'人力工时数据'!$B:$B,M$2),SUMIFS('人力工时数据'!$C:$C,'人力工时数据'!$H:$H,"工商业场景监控（临时）",'人力工时数据'!$B:$B,M$2)+IF(LEFT(M$2,4)="中台开发",SUMIFS('人力工时数据'!$E:$E,'人力工时数据'!$H:$H,"工商业场景监控（临时）",'人力工时数据'!$B:$B,M$2),0))</f>
        <v>0</v>
      </c>
      <c r="N5" s="79" t="n">
        <f>IF(N$2="测试部-应用软件测试-云服务",SUMIFS('人力工时数据'!$D:$D,'人力工时数据'!$H:$H,"工商业场景监控（临时）",'人力工时数据'!$B:$B,N$2),SUMIFS('人力工时数据'!$C:$C,'人力工时数据'!$H:$H,"工商业场景监控（临时）",'人力工时数据'!$B:$B,N$2)+IF(LEFT(N$2,4)="中台开发",SUMIFS('人力工时数据'!$E:$E,'人力工时数据'!$H:$H,"工商业场景监控（临时）",'人力工时数据'!$B:$B,N$2),0))</f>
        <v>15.5</v>
      </c>
      <c r="O5" s="79" t="n">
        <f>IF(O$2="测试部-应用软件测试-云服务",SUMIFS('人力工时数据'!$D:$D,'人力工时数据'!$H:$H,"工商业场景监控（临时）",'人力工时数据'!$B:$B,O$2),SUMIFS('人力工时数据'!$C:$C,'人力工时数据'!$H:$H,"工商业场景监控（临时）",'人力工时数据'!$B:$B,O$2)+IF(LEFT(O$2,4)="中台开发",SUMIFS('人力工时数据'!$E:$E,'人力工时数据'!$H:$H,"工商业场景监控（临时）",'人力工时数据'!$B:$B,O$2),0))</f>
        <v>5.5</v>
      </c>
      <c r="P5" s="79" t="n">
        <f>IF(P$2="测试部-应用软件测试-云服务",SUMIFS('人力工时数据'!$D:$D,'人力工时数据'!$H:$H,"工商业场景监控（临时）",'人力工时数据'!$B:$B,P$2),SUMIFS('人力工时数据'!$C:$C,'人力工时数据'!$H:$H,"工商业场景监控（临时）",'人力工时数据'!$B:$B,P$2)+IF(LEFT(P$2,4)="中台开发",SUMIFS('人力工时数据'!$E:$E,'人力工时数据'!$H:$H,"工商业场景监控（临时）",'人力工时数据'!$B:$B,P$2),0))</f>
        <v>0</v>
      </c>
      <c r="Q5" s="79" t="n">
        <f>IF(Q$2="测试部-应用软件测试-云服务",SUMIFS('人力工时数据'!$D:$D,'人力工时数据'!$H:$H,"工商业场景监控（临时）",'人力工时数据'!$B:$B,Q$2),SUMIFS('人力工时数据'!$C:$C,'人力工时数据'!$H:$H,"工商业场景监控（临时）",'人力工时数据'!$B:$B,Q$2)+IF(LEFT(Q$2,4)="中台开发",SUMIFS('人力工时数据'!$E:$E,'人力工时数据'!$H:$H,"工商业场景监控（临时）",'人力工时数据'!$B:$B,Q$2),0))</f>
        <v>0</v>
      </c>
      <c r="R5" s="79" t="n">
        <f>IF(R$2="测试部-应用软件测试-云服务",SUMIFS('人力工时数据'!$D:$D,'人力工时数据'!$H:$H,"工商业场景监控（临时）",'人力工时数据'!$B:$B,R$2),SUMIFS('人力工时数据'!$C:$C,'人力工时数据'!$H:$H,"工商业场景监控（临时）",'人力工时数据'!$B:$B,R$2)+IF(LEFT(R$2,4)="中台开发",SUMIFS('人力工时数据'!$E:$E,'人力工时数据'!$H:$H,"工商业场景监控（临时）",'人力工时数据'!$B:$B,R$2),0))</f>
        <v>0</v>
      </c>
      <c r="S5" s="80" t="n">
        <f>SUM(B5:R5)</f>
        <v>54.5</v>
      </c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5"/>
      <c r="AG5" s="75"/>
      <c r="AH5" s="75"/>
      <c r="AI5" s="75"/>
      <c r="AJ5" s="75"/>
      <c r="AK5" s="75"/>
      <c r="AL5" s="75"/>
      <c r="AM5" s="75"/>
    </row>
    <row r="6" ht="16.5" customHeight="1">
      <c r="A6" s="81" t="s">
        <v>82</v>
      </c>
      <c r="B6" s="82" t="n">
        <f>SUM(B3:B5)</f>
        <v>112</v>
      </c>
      <c r="C6" s="82" t="n">
        <f>SUM(C3:C5)</f>
        <v>0</v>
      </c>
      <c r="D6" s="82" t="n">
        <f>SUM(D3:D5)</f>
        <v>188.1</v>
      </c>
      <c r="E6" s="82" t="n">
        <f>SUM(E3:E5)</f>
        <v>23</v>
      </c>
      <c r="F6" s="82" t="n">
        <f>SUM(F3:F5)</f>
        <v>74.5</v>
      </c>
      <c r="G6" s="82" t="n">
        <f>SUM(G3:G5)</f>
        <v>0</v>
      </c>
      <c r="H6" s="82" t="n">
        <f>SUM(H3:H5)</f>
        <v>50</v>
      </c>
      <c r="I6" s="82" t="n">
        <f>SUM(I3:I5)</f>
        <v>0</v>
      </c>
      <c r="J6" s="82" t="n">
        <f>SUM(J3:J5)</f>
        <v>54</v>
      </c>
      <c r="K6" s="82" t="n">
        <f>SUM(K3:K5)</f>
        <v>42</v>
      </c>
      <c r="L6" s="82" t="n">
        <f>SUM(L3:L5)</f>
        <v>0</v>
      </c>
      <c r="M6" s="82" t="n">
        <f>SUM(M3:M5)</f>
        <v>0</v>
      </c>
      <c r="N6" s="82" t="n">
        <f>SUM(N3:N5)</f>
        <v>207</v>
      </c>
      <c r="O6" s="82" t="n">
        <f>SUM(O3:O5)</f>
        <v>50.5</v>
      </c>
      <c r="P6" s="82" t="n">
        <f>SUM(P3:P5)</f>
        <v>0</v>
      </c>
      <c r="Q6" s="82" t="n">
        <f>SUM(Q3:Q5)</f>
        <v>0</v>
      </c>
      <c r="R6" s="82" t="n">
        <f>SUM(R3:R5)</f>
        <v>0</v>
      </c>
      <c r="S6" s="82" t="n">
        <f>SUM(S3:S5)</f>
        <v>801.1</v>
      </c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5"/>
      <c r="AG6" s="75"/>
      <c r="AH6" s="75"/>
      <c r="AI6" s="75"/>
      <c r="AJ6" s="75"/>
      <c r="AK6" s="75"/>
      <c r="AL6" s="75"/>
      <c r="AM6" s="75"/>
    </row>
    <row r="7" ht="16.5" customHeight="1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</row>
    <row r="8" ht="16.5" customHeight="1">
      <c r="A8" s="75"/>
      <c r="B8" s="75"/>
      <c r="C8" s="75"/>
      <c r="D8" s="75"/>
      <c r="E8" s="75"/>
      <c r="F8" s="75"/>
      <c r="G8" s="73"/>
      <c r="H8" s="73"/>
      <c r="I8" s="73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</row>
    <row r="9" ht="16.5" customHeight="1">
      <c r="A9" s="76" t="s">
        <v>83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</row>
    <row r="10" ht="41.25" customHeight="1">
      <c r="A10" s="77" t="s">
        <v>84</v>
      </c>
      <c r="B10" s="26" t="s">
        <v>61</v>
      </c>
      <c r="C10" s="26" t="s">
        <v>62</v>
      </c>
      <c r="D10" s="26" t="s">
        <v>63</v>
      </c>
      <c r="E10" s="26" t="s">
        <v>64</v>
      </c>
      <c r="F10" s="26" t="s">
        <v>65</v>
      </c>
      <c r="G10" s="26" t="s">
        <v>66</v>
      </c>
      <c r="H10" s="26" t="s">
        <v>67</v>
      </c>
      <c r="I10" s="26" t="s">
        <v>68</v>
      </c>
      <c r="J10" s="26" t="s">
        <v>69</v>
      </c>
      <c r="K10" s="26" t="s">
        <v>70</v>
      </c>
      <c r="L10" s="26" t="s">
        <v>71</v>
      </c>
      <c r="M10" s="26" t="s">
        <v>72</v>
      </c>
      <c r="N10" s="26" t="s">
        <v>73</v>
      </c>
      <c r="O10" s="26" t="s">
        <v>74</v>
      </c>
      <c r="P10" s="26" t="s">
        <v>75</v>
      </c>
      <c r="Q10" s="26" t="s">
        <v>76</v>
      </c>
      <c r="R10" s="26" t="s">
        <v>77</v>
      </c>
      <c r="S10" s="26" t="s">
        <v>85</v>
      </c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</row>
    <row r="11" ht="16.5" customHeight="1">
      <c r="A11" s="77" t="s">
        <v>82</v>
      </c>
      <c r="B11" s="80" t="n">
        <f>B6</f>
        <v>112</v>
      </c>
      <c r="C11" s="80" t="n">
        <f>C6</f>
        <v>0</v>
      </c>
      <c r="D11" s="80" t="n">
        <f>D6</f>
        <v>188.1</v>
      </c>
      <c r="E11" s="80" t="n">
        <f>E6</f>
        <v>23</v>
      </c>
      <c r="F11" s="80" t="n">
        <f>F6</f>
        <v>74.5</v>
      </c>
      <c r="G11" s="80" t="n">
        <f>G6</f>
        <v>0</v>
      </c>
      <c r="H11" s="80" t="n">
        <f>H6</f>
        <v>50</v>
      </c>
      <c r="I11" s="80" t="n">
        <f>I6</f>
        <v>0</v>
      </c>
      <c r="J11" s="80" t="n">
        <f>J6</f>
        <v>54</v>
      </c>
      <c r="K11" s="80" t="n">
        <f>K6</f>
        <v>42</v>
      </c>
      <c r="L11" s="80" t="n">
        <f>L6</f>
        <v>0</v>
      </c>
      <c r="M11" s="80" t="n">
        <f>M6</f>
        <v>0</v>
      </c>
      <c r="N11" s="80" t="n">
        <f>N6</f>
        <v>207</v>
      </c>
      <c r="O11" s="80" t="n">
        <f>O6</f>
        <v>50.5</v>
      </c>
      <c r="P11" s="80" t="n">
        <f>P6</f>
        <v>0</v>
      </c>
      <c r="Q11" s="80" t="n">
        <f>Q6</f>
        <v>0</v>
      </c>
      <c r="R11" s="80" t="n">
        <f>R6</f>
        <v>0</v>
      </c>
      <c r="S11" s="80" t="n">
        <f>S6</f>
        <v>801.1</v>
      </c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</row>
    <row r="12" ht="16.5" customHeight="1">
      <c r="A12" s="78" t="s">
        <v>86</v>
      </c>
      <c r="B12" s="79" t="n">
        <f>IF(B$10="测试部-应用软件测试-云服务",SUM(SUMIFS('人力工时数据'!$D:$D,'人力工时数据'!$H:$H,{"未立项","未填写"},'人力工时数据'!$B:$B,B$10)),SUM(SUMIFS('人力工时数据'!$C:$C,'人力工时数据'!$H:$H,{"未立项","未填写"},'人力工时数据'!$B:$B,B$10))+IF(LEFT(B$10,4)="中台开发",SUM(SUMIFS('人力工时数据'!$E:$E,'人力工时数据'!$H:$H,{"未立项","未填写"},'人力工时数据'!$B:$B,B$10)),0))</f>
        <v>0</v>
      </c>
      <c r="C12" s="79" t="n">
        <f>IF(C$10="测试部-应用软件测试-云服务",SUM(SUMIFS('人力工时数据'!$D:$D,'人力工时数据'!$H:$H,{"未立项","未填写"},'人力工时数据'!$B:$B,C$10)),SUM(SUMIFS('人力工时数据'!$C:$C,'人力工时数据'!$H:$H,{"未立项","未填写"},'人力工时数据'!$B:$B,C$10))+IF(LEFT(C$10,4)="中台开发",SUM(SUMIFS('人力工时数据'!$E:$E,'人力工时数据'!$H:$H,{"未立项","未填写"},'人力工时数据'!$B:$B,C$10)),0))</f>
        <v>0</v>
      </c>
      <c r="D12" s="79" t="n">
        <f>IF(D$10="测试部-应用软件测试-云服务",SUM(SUMIFS('人力工时数据'!$D:$D,'人力工时数据'!$H:$H,{"未立项","未填写"},'人力工时数据'!$B:$B,D$10)),SUM(SUMIFS('人力工时数据'!$C:$C,'人力工时数据'!$H:$H,{"未立项","未填写"},'人力工时数据'!$B:$B,D$10))+IF(LEFT(D$10,4)="中台开发",SUM(SUMIFS('人力工时数据'!$E:$E,'人力工时数据'!$H:$H,{"未立项","未填写"},'人力工时数据'!$B:$B,D$10)),0))</f>
        <v>14</v>
      </c>
      <c r="E12" s="79" t="n">
        <f>IF(E$10="测试部-应用软件测试-云服务",SUM(SUMIFS('人力工时数据'!$D:$D,'人力工时数据'!$H:$H,{"未立项","未填写"},'人力工时数据'!$B:$B,E$10)),SUM(SUMIFS('人力工时数据'!$C:$C,'人力工时数据'!$H:$H,{"未立项","未填写"},'人力工时数据'!$B:$B,E$10))+IF(LEFT(E$10,4)="中台开发",SUM(SUMIFS('人力工时数据'!$E:$E,'人力工时数据'!$H:$H,{"未立项","未填写"},'人力工时数据'!$B:$B,E$10)),0))</f>
        <v>3</v>
      </c>
      <c r="F12" s="79" t="n">
        <f>IF(F$10="测试部-应用软件测试-云服务",SUM(SUMIFS('人力工时数据'!$D:$D,'人力工时数据'!$H:$H,{"未立项","未填写"},'人力工时数据'!$B:$B,F$10)),SUM(SUMIFS('人力工时数据'!$C:$C,'人力工时数据'!$H:$H,{"未立项","未填写"},'人力工时数据'!$B:$B,F$10))+IF(LEFT(F$10,4)="中台开发",SUM(SUMIFS('人力工时数据'!$E:$E,'人力工时数据'!$H:$H,{"未立项","未填写"},'人力工时数据'!$B:$B,F$10)),0))</f>
        <v>2.5</v>
      </c>
      <c r="G12" s="79" t="n">
        <f>IF(G$10="测试部-应用软件测试-云服务",SUM(SUMIFS('人力工时数据'!$D:$D,'人力工时数据'!$H:$H,{"未立项","未填写"},'人力工时数据'!$B:$B,G$10)),SUM(SUMIFS('人力工时数据'!$C:$C,'人力工时数据'!$H:$H,{"未立项","未填写"},'人力工时数据'!$B:$B,G$10))+IF(LEFT(G$10,4)="中台开发",SUM(SUMIFS('人力工时数据'!$E:$E,'人力工时数据'!$H:$H,{"未立项","未填写"},'人力工时数据'!$B:$B,G$10)),0))</f>
        <v>0</v>
      </c>
      <c r="H12" s="79" t="n">
        <f>IF(H$10="测试部-应用软件测试-云服务",SUM(SUMIFS('人力工时数据'!$D:$D,'人力工时数据'!$H:$H,{"未立项","未填写"},'人力工时数据'!$B:$B,H$10)),SUM(SUMIFS('人力工时数据'!$C:$C,'人力工时数据'!$H:$H,{"未立项","未填写"},'人力工时数据'!$B:$B,H$10))+IF(LEFT(H$10,4)="中台开发",SUM(SUMIFS('人力工时数据'!$E:$E,'人力工时数据'!$H:$H,{"未立项","未填写"},'人力工时数据'!$B:$B,H$10)),0))</f>
        <v>1</v>
      </c>
      <c r="I12" s="79" t="n">
        <f>IF(I$10="测试部-应用软件测试-云服务",SUM(SUMIFS('人力工时数据'!$D:$D,'人力工时数据'!$H:$H,{"未立项","未填写"},'人力工时数据'!$B:$B,I$10)),SUM(SUMIFS('人力工时数据'!$C:$C,'人力工时数据'!$H:$H,{"未立项","未填写"},'人力工时数据'!$B:$B,I$10))+IF(LEFT(I$10,4)="中台开发",SUM(SUMIFS('人力工时数据'!$E:$E,'人力工时数据'!$H:$H,{"未立项","未填写"},'人力工时数据'!$B:$B,I$10)),0))</f>
        <v>72</v>
      </c>
      <c r="J12" s="79" t="n">
        <f>IF(J$10="测试部-应用软件测试-云服务",SUM(SUMIFS('人力工时数据'!$D:$D,'人力工时数据'!$H:$H,{"未立项","未填写"},'人力工时数据'!$B:$B,J$10)),SUM(SUMIFS('人力工时数据'!$C:$C,'人力工时数据'!$H:$H,{"未立项","未填写"},'人力工时数据'!$B:$B,J$10))+IF(LEFT(J$10,4)="中台开发",SUM(SUMIFS('人力工时数据'!$E:$E,'人力工时数据'!$H:$H,{"未立项","未填写"},'人力工时数据'!$B:$B,J$10)),0))</f>
        <v>11</v>
      </c>
      <c r="K12" s="79" t="n">
        <f>IF(K$10="测试部-应用软件测试-云服务",SUM(SUMIFS('人力工时数据'!$D:$D,'人力工时数据'!$H:$H,{"未立项","未填写"},'人力工时数据'!$B:$B,K$10)),SUM(SUMIFS('人力工时数据'!$C:$C,'人力工时数据'!$H:$H,{"未立项","未填写"},'人力工时数据'!$B:$B,K$10))+IF(LEFT(K$10,4)="中台开发",SUM(SUMIFS('人力工时数据'!$E:$E,'人力工时数据'!$H:$H,{"未立项","未填写"},'人力工时数据'!$B:$B,K$10)),0))</f>
        <v>0</v>
      </c>
      <c r="L12" s="79" t="n">
        <f>IF(L$10="测试部-应用软件测试-云服务",SUM(SUMIFS('人力工时数据'!$D:$D,'人力工时数据'!$H:$H,{"未立项","未填写"},'人力工时数据'!$B:$B,L$10)),SUM(SUMIFS('人力工时数据'!$C:$C,'人力工时数据'!$H:$H,{"未立项","未填写"},'人力工时数据'!$B:$B,L$10))+IF(LEFT(L$10,4)="中台开发",SUM(SUMIFS('人力工时数据'!$E:$E,'人力工时数据'!$H:$H,{"未立项","未填写"},'人力工时数据'!$B:$B,L$10)),0))</f>
        <v>0</v>
      </c>
      <c r="M12" s="79" t="n">
        <f>IF(M$10="测试部-应用软件测试-云服务",SUM(SUMIFS('人力工时数据'!$D:$D,'人力工时数据'!$H:$H,{"未立项","未填写"},'人力工时数据'!$B:$B,M$10)),SUM(SUMIFS('人力工时数据'!$C:$C,'人力工时数据'!$H:$H,{"未立项","未填写"},'人力工时数据'!$B:$B,M$10))+IF(LEFT(M$10,4)="中台开发",SUM(SUMIFS('人力工时数据'!$E:$E,'人力工时数据'!$H:$H,{"未立项","未填写"},'人力工时数据'!$B:$B,M$10)),0))</f>
        <v>0</v>
      </c>
      <c r="N12" s="79" t="n">
        <f>IF(N$10="测试部-应用软件测试-云服务",SUM(SUMIFS('人力工时数据'!$D:$D,'人力工时数据'!$H:$H,{"未立项","未填写"},'人力工时数据'!$B:$B,N$10)),SUM(SUMIFS('人力工时数据'!$C:$C,'人力工时数据'!$H:$H,{"未立项","未填写"},'人力工时数据'!$B:$B,N$10))+IF(LEFT(N$10,4)="中台开发",SUM(SUMIFS('人力工时数据'!$E:$E,'人力工时数据'!$H:$H,{"未立项","未填写"},'人力工时数据'!$B:$B,N$10)),0))</f>
        <v>2</v>
      </c>
      <c r="O12" s="79" t="n">
        <f>IF(O$10="测试部-应用软件测试-云服务",SUM(SUMIFS('人力工时数据'!$D:$D,'人力工时数据'!$H:$H,{"未立项","未填写"},'人力工时数据'!$B:$B,O$10)),SUM(SUMIFS('人力工时数据'!$C:$C,'人力工时数据'!$H:$H,{"未立项","未填写"},'人力工时数据'!$B:$B,O$10))+IF(LEFT(O$10,4)="中台开发",SUM(SUMIFS('人力工时数据'!$E:$E,'人力工时数据'!$H:$H,{"未立项","未填写"},'人力工时数据'!$B:$B,O$10)),0))</f>
        <v>1.5</v>
      </c>
      <c r="P12" s="79" t="n">
        <f>IF(P$10="测试部-应用软件测试-云服务",SUM(SUMIFS('人力工时数据'!$D:$D,'人力工时数据'!$H:$H,{"未立项","未填写"},'人力工时数据'!$B:$B,P$10)),SUM(SUMIFS('人力工时数据'!$C:$C,'人力工时数据'!$H:$H,{"未立项","未填写"},'人力工时数据'!$B:$B,P$10))+IF(LEFT(P$10,4)="中台开发",SUM(SUMIFS('人力工时数据'!$E:$E,'人力工时数据'!$H:$H,{"未立项","未填写"},'人力工时数据'!$B:$B,P$10)),0))</f>
        <v>0</v>
      </c>
      <c r="Q12" s="79" t="n">
        <f>IF(Q$10="测试部-应用软件测试-云服务",SUM(SUMIFS('人力工时数据'!$D:$D,'人力工时数据'!$H:$H,{"未立项","未填写"},'人力工时数据'!$B:$B,Q$10)),SUM(SUMIFS('人力工时数据'!$C:$C,'人力工时数据'!$H:$H,{"未立项","未填写"},'人力工时数据'!$B:$B,Q$10))+IF(LEFT(Q$10,4)="中台开发",SUM(SUMIFS('人力工时数据'!$E:$E,'人力工时数据'!$H:$H,{"未立项","未填写"},'人力工时数据'!$B:$B,Q$10)),0))</f>
        <v>0</v>
      </c>
      <c r="R12" s="79" t="n">
        <f>IF(R$10="测试部-应用软件测试-云服务",SUM(SUMIFS('人力工时数据'!$D:$D,'人力工时数据'!$H:$H,{"未立项","未填写"},'人力工时数据'!$B:$B,R$10)),SUM(SUMIFS('人力工时数据'!$C:$C,'人力工时数据'!$H:$H,{"未立项","未填写"},'人力工时数据'!$B:$B,R$10))+IF(LEFT(R$10,4)="中台开发",SUM(SUMIFS('人力工时数据'!$E:$E,'人力工时数据'!$H:$H,{"未立项","未填写"},'人力工时数据'!$B:$B,R$10)),0))</f>
        <v>0</v>
      </c>
      <c r="S12" s="83" t="n">
        <f>SUM(B12:R12)</f>
        <v>107</v>
      </c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</row>
    <row r="13" ht="16.5" customHeight="1">
      <c r="A13" s="78" t="s">
        <v>87</v>
      </c>
      <c r="B13" s="79" t="n">
        <f>IF(B$10="测试部-应用软件测试-云服务",SUMIFS('人力工时数据'!$D:$D,'人力工时数据'!$H:$H,"ECO",'人力工时数据'!$B:$B,B$10),SUMIFS('人力工时数据'!$C:$C,'人力工时数据'!$H:$H,"ECO",'人力工时数据'!$B:$B,B$10)+IF(LEFT(B$10,4)="中台开发",SUMIFS('人力工时数据'!$E:$E,'人力工时数据'!$H:$H,"ECO",'人力工时数据'!$B:$B,B$10),0))</f>
        <v>0</v>
      </c>
      <c r="C13" s="79" t="n">
        <f>IF(C$10="测试部-应用软件测试-云服务",SUMIFS('人力工时数据'!$D:$D,'人力工时数据'!$H:$H,"ECO",'人力工时数据'!$B:$B,C$10),SUMIFS('人力工时数据'!$C:$C,'人力工时数据'!$H:$H,"ECO",'人力工时数据'!$B:$B,C$10)+IF(LEFT(C$10,4)="中台开发",SUMIFS('人力工时数据'!$E:$E,'人力工时数据'!$H:$H,"ECO",'人力工时数据'!$B:$B,C$10),0))</f>
        <v>0</v>
      </c>
      <c r="D13" s="79" t="n">
        <f>IF(D$10="测试部-应用软件测试-云服务",SUMIFS('人力工时数据'!$D:$D,'人力工时数据'!$H:$H,"ECO",'人力工时数据'!$B:$B,D$10),SUMIFS('人力工时数据'!$C:$C,'人力工时数据'!$H:$H,"ECO",'人力工时数据'!$B:$B,D$10)+IF(LEFT(D$10,4)="中台开发",SUMIFS('人力工时数据'!$E:$E,'人力工时数据'!$H:$H,"ECO",'人力工时数据'!$B:$B,D$10),0))</f>
        <v>0</v>
      </c>
      <c r="E13" s="79" t="n">
        <f>IF(E$10="测试部-应用软件测试-云服务",SUMIFS('人力工时数据'!$D:$D,'人力工时数据'!$H:$H,"ECO",'人力工时数据'!$B:$B,E$10),SUMIFS('人力工时数据'!$C:$C,'人力工时数据'!$H:$H,"ECO",'人力工时数据'!$B:$B,E$10)+IF(LEFT(E$10,4)="中台开发",SUMIFS('人力工时数据'!$E:$E,'人力工时数据'!$H:$H,"ECO",'人力工时数据'!$B:$B,E$10),0))</f>
        <v>0</v>
      </c>
      <c r="F13" s="79" t="n">
        <f>IF(F$10="测试部-应用软件测试-云服务",SUMIFS('人力工时数据'!$D:$D,'人力工时数据'!$H:$H,"ECO",'人力工时数据'!$B:$B,F$10),SUMIFS('人力工时数据'!$C:$C,'人力工时数据'!$H:$H,"ECO",'人力工时数据'!$B:$B,F$10)+IF(LEFT(F$10,4)="中台开发",SUMIFS('人力工时数据'!$E:$E,'人力工时数据'!$H:$H,"ECO",'人力工时数据'!$B:$B,F$10),0))</f>
        <v>0</v>
      </c>
      <c r="G13" s="79" t="n">
        <f>IF(G$10="测试部-应用软件测试-云服务",SUMIFS('人力工时数据'!$D:$D,'人力工时数据'!$H:$H,"ECO",'人力工时数据'!$B:$B,G$10),SUMIFS('人力工时数据'!$C:$C,'人力工时数据'!$H:$H,"ECO",'人力工时数据'!$B:$B,G$10)+IF(LEFT(G$10,4)="中台开发",SUMIFS('人力工时数据'!$E:$E,'人力工时数据'!$H:$H,"ECO",'人力工时数据'!$B:$B,G$10),0))</f>
        <v>0</v>
      </c>
      <c r="H13" s="79" t="n">
        <f>IF(H$10="测试部-应用软件测试-云服务",SUMIFS('人力工时数据'!$D:$D,'人力工时数据'!$H:$H,"ECO",'人力工时数据'!$B:$B,H$10),SUMIFS('人力工时数据'!$C:$C,'人力工时数据'!$H:$H,"ECO",'人力工时数据'!$B:$B,H$10)+IF(LEFT(H$10,4)="中台开发",SUMIFS('人力工时数据'!$E:$E,'人力工时数据'!$H:$H,"ECO",'人力工时数据'!$B:$B,H$10),0))</f>
        <v>28</v>
      </c>
      <c r="I13" s="79" t="n">
        <f>IF(I$10="测试部-应用软件测试-云服务",SUMIFS('人力工时数据'!$D:$D,'人力工时数据'!$H:$H,"ECO",'人力工时数据'!$B:$B,I$10),SUMIFS('人力工时数据'!$C:$C,'人力工时数据'!$H:$H,"ECO",'人力工时数据'!$B:$B,I$10)+IF(LEFT(I$10,4)="中台开发",SUMIFS('人力工时数据'!$E:$E,'人力工时数据'!$H:$H,"ECO",'人力工时数据'!$B:$B,I$10),0))</f>
        <v>0</v>
      </c>
      <c r="J13" s="79" t="n">
        <f>IF(J$10="测试部-应用软件测试-云服务",SUMIFS('人力工时数据'!$D:$D,'人力工时数据'!$H:$H,"ECO",'人力工时数据'!$B:$B,J$10),SUMIFS('人力工时数据'!$C:$C,'人力工时数据'!$H:$H,"ECO",'人力工时数据'!$B:$B,J$10)+IF(LEFT(J$10,4)="中台开发",SUMIFS('人力工时数据'!$E:$E,'人力工时数据'!$H:$H,"ECO",'人力工时数据'!$B:$B,J$10),0))</f>
        <v>30</v>
      </c>
      <c r="K13" s="79" t="n">
        <f>IF(K$10="测试部-应用软件测试-云服务",SUMIFS('人力工时数据'!$D:$D,'人力工时数据'!$H:$H,"ECO",'人力工时数据'!$B:$B,K$10),SUMIFS('人力工时数据'!$C:$C,'人力工时数据'!$H:$H,"ECO",'人力工时数据'!$B:$B,K$10)+IF(LEFT(K$10,4)="中台开发",SUMIFS('人力工时数据'!$E:$E,'人力工时数据'!$H:$H,"ECO",'人力工时数据'!$B:$B,K$10),0))</f>
        <v>0</v>
      </c>
      <c r="L13" s="79" t="n">
        <f>IF(L$10="测试部-应用软件测试-云服务",SUMIFS('人力工时数据'!$D:$D,'人力工时数据'!$H:$H,"ECO",'人力工时数据'!$B:$B,L$10),SUMIFS('人力工时数据'!$C:$C,'人力工时数据'!$H:$H,"ECO",'人力工时数据'!$B:$B,L$10)+IF(LEFT(L$10,4)="中台开发",SUMIFS('人力工时数据'!$E:$E,'人力工时数据'!$H:$H,"ECO",'人力工时数据'!$B:$B,L$10),0))</f>
        <v>0</v>
      </c>
      <c r="M13" s="79" t="n">
        <f>IF(M$10="测试部-应用软件测试-云服务",SUMIFS('人力工时数据'!$D:$D,'人力工时数据'!$H:$H,"ECO",'人力工时数据'!$B:$B,M$10),SUMIFS('人力工时数据'!$C:$C,'人力工时数据'!$H:$H,"ECO",'人力工时数据'!$B:$B,M$10)+IF(LEFT(M$10,4)="中台开发",SUMIFS('人力工时数据'!$E:$E,'人力工时数据'!$H:$H,"ECO",'人力工时数据'!$B:$B,M$10),0))</f>
        <v>0</v>
      </c>
      <c r="N13" s="79" t="n">
        <f>IF(N$10="测试部-应用软件测试-云服务",SUMIFS('人力工时数据'!$D:$D,'人力工时数据'!$H:$H,"ECO",'人力工时数据'!$B:$B,N$10),SUMIFS('人力工时数据'!$C:$C,'人力工时数据'!$H:$H,"ECO",'人力工时数据'!$B:$B,N$10)+IF(LEFT(N$10,4)="中台开发",SUMIFS('人力工时数据'!$E:$E,'人力工时数据'!$H:$H,"ECO",'人力工时数据'!$B:$B,N$10),0))</f>
        <v>0</v>
      </c>
      <c r="O13" s="79" t="n">
        <f>IF(O$10="测试部-应用软件测试-云服务",SUMIFS('人力工时数据'!$D:$D,'人力工时数据'!$H:$H,"ECO",'人力工时数据'!$B:$B,O$10),SUMIFS('人力工时数据'!$C:$C,'人力工时数据'!$H:$H,"ECO",'人力工时数据'!$B:$B,O$10)+IF(LEFT(O$10,4)="中台开发",SUMIFS('人力工时数据'!$E:$E,'人力工时数据'!$H:$H,"ECO",'人力工时数据'!$B:$B,O$10),0))</f>
        <v>1</v>
      </c>
      <c r="P13" s="79" t="n">
        <f>IF(P$10="测试部-应用软件测试-云服务",SUMIFS('人力工时数据'!$D:$D,'人力工时数据'!$H:$H,"ECO",'人力工时数据'!$B:$B,P$10),SUMIFS('人力工时数据'!$C:$C,'人力工时数据'!$H:$H,"ECO",'人力工时数据'!$B:$B,P$10)+IF(LEFT(P$10,4)="中台开发",SUMIFS('人力工时数据'!$E:$E,'人力工时数据'!$H:$H,"ECO",'人力工时数据'!$B:$B,P$10),0))</f>
        <v>0</v>
      </c>
      <c r="Q13" s="79" t="n">
        <f>IF(Q$10="测试部-应用软件测试-云服务",SUMIFS('人力工时数据'!$D:$D,'人力工时数据'!$H:$H,"ECO",'人力工时数据'!$B:$B,Q$10),SUMIFS('人力工时数据'!$C:$C,'人力工时数据'!$H:$H,"ECO",'人力工时数据'!$B:$B,Q$10)+IF(LEFT(Q$10,4)="中台开发",SUMIFS('人力工时数据'!$E:$E,'人力工时数据'!$H:$H,"ECO",'人力工时数据'!$B:$B,Q$10),0))</f>
        <v>0</v>
      </c>
      <c r="R13" s="79" t="n">
        <f>IF(R$10="测试部-应用软件测试-云服务",SUMIFS('人力工时数据'!$D:$D,'人力工时数据'!$H:$H,"ECO",'人力工时数据'!$B:$B,R$10),SUMIFS('人力工时数据'!$C:$C,'人力工时数据'!$H:$H,"ECO",'人力工时数据'!$B:$B,R$10)+IF(LEFT(R$10,4)="中台开发",SUMIFS('人力工时数据'!$E:$E,'人力工时数据'!$H:$H,"ECO",'人力工时数据'!$B:$B,R$10),0))</f>
        <v>0</v>
      </c>
      <c r="S13" s="83" t="n">
        <f>SUM(B13:R13)</f>
        <v>59</v>
      </c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</row>
    <row r="14" ht="16.5" customHeight="1">
      <c r="A14" s="78" t="s">
        <v>88</v>
      </c>
      <c r="B14" s="79" t="n">
        <f>IF(B$10="测试部-应用软件测试-云服务",SUMIFS('人力工时数据'!$D:$D,'人力工时数据'!$H:$H,"工具项目",'人力工时数据'!$B:$B,B$10),SUMIFS('人力工时数据'!$C:$C,'人力工时数据'!$H:$H,"工具项目",'人力工时数据'!$B:$B,B$10)+IF(LEFT(B$10,4)="中台开发",SUMIFS('人力工时数据'!$E:$E,'人力工时数据'!$H:$H,"工具项目",'人力工时数据'!$B:$B,B$10),0))</f>
        <v>0</v>
      </c>
      <c r="C14" s="79" t="n">
        <f>IF(C$10="测试部-应用软件测试-云服务",SUMIFS('人力工时数据'!$D:$D,'人力工时数据'!$H:$H,"工具项目",'人力工时数据'!$B:$B,C$10),SUMIFS('人力工时数据'!$C:$C,'人力工时数据'!$H:$H,"工具项目",'人力工时数据'!$B:$B,C$10)+IF(LEFT(C$10,4)="中台开发",SUMIFS('人力工时数据'!$E:$E,'人力工时数据'!$H:$H,"工具项目",'人力工时数据'!$B:$B,C$10),0))</f>
        <v>0</v>
      </c>
      <c r="D14" s="79" t="n">
        <f>IF(D$10="测试部-应用软件测试-云服务",SUMIFS('人力工时数据'!$D:$D,'人力工时数据'!$H:$H,"工具项目",'人力工时数据'!$B:$B,D$10),SUMIFS('人力工时数据'!$C:$C,'人力工时数据'!$H:$H,"工具项目",'人力工时数据'!$B:$B,D$10)+IF(LEFT(D$10,4)="中台开发",SUMIFS('人力工时数据'!$E:$E,'人力工时数据'!$H:$H,"工具项目",'人力工时数据'!$B:$B,D$10),0))</f>
        <v>0</v>
      </c>
      <c r="E14" s="79" t="n">
        <f>IF(E$10="测试部-应用软件测试-云服务",SUMIFS('人力工时数据'!$D:$D,'人力工时数据'!$H:$H,"工具项目",'人力工时数据'!$B:$B,E$10),SUMIFS('人力工时数据'!$C:$C,'人力工时数据'!$H:$H,"工具项目",'人力工时数据'!$B:$B,E$10)+IF(LEFT(E$10,4)="中台开发",SUMIFS('人力工时数据'!$E:$E,'人力工时数据'!$H:$H,"工具项目",'人力工时数据'!$B:$B,E$10),0))</f>
        <v>0</v>
      </c>
      <c r="F14" s="79" t="n">
        <f>IF(F$10="测试部-应用软件测试-云服务",SUMIFS('人力工时数据'!$D:$D,'人力工时数据'!$H:$H,"工具项目",'人力工时数据'!$B:$B,F$10),SUMIFS('人力工时数据'!$C:$C,'人力工时数据'!$H:$H,"工具项目",'人力工时数据'!$B:$B,F$10)+IF(LEFT(F$10,4)="中台开发",SUMIFS('人力工时数据'!$E:$E,'人力工时数据'!$H:$H,"工具项目",'人力工时数据'!$B:$B,F$10),0))</f>
        <v>0</v>
      </c>
      <c r="G14" s="79" t="n">
        <f>IF(G$10="测试部-应用软件测试-云服务",SUMIFS('人力工时数据'!$D:$D,'人力工时数据'!$H:$H,"工具项目",'人力工时数据'!$B:$B,G$10),SUMIFS('人力工时数据'!$C:$C,'人力工时数据'!$H:$H,"工具项目",'人力工时数据'!$B:$B,G$10)+IF(LEFT(G$10,4)="中台开发",SUMIFS('人力工时数据'!$E:$E,'人力工时数据'!$H:$H,"工具项目",'人力工时数据'!$B:$B,G$10),0))</f>
        <v>0</v>
      </c>
      <c r="H14" s="79" t="n">
        <f>IF(H$10="测试部-应用软件测试-云服务",SUMIFS('人力工时数据'!$D:$D,'人力工时数据'!$H:$H,"工具项目",'人力工时数据'!$B:$B,H$10),SUMIFS('人力工时数据'!$C:$C,'人力工时数据'!$H:$H,"工具项目",'人力工时数据'!$B:$B,H$10)+IF(LEFT(H$10,4)="中台开发",SUMIFS('人力工时数据'!$E:$E,'人力工时数据'!$H:$H,"工具项目",'人力工时数据'!$B:$B,H$10),0))</f>
        <v>1</v>
      </c>
      <c r="I14" s="79" t="n">
        <f>IF(I$10="测试部-应用软件测试-云服务",SUMIFS('人力工时数据'!$D:$D,'人力工时数据'!$H:$H,"工具项目",'人力工时数据'!$B:$B,I$10),SUMIFS('人力工时数据'!$C:$C,'人力工时数据'!$H:$H,"工具项目",'人力工时数据'!$B:$B,I$10)+IF(LEFT(I$10,4)="中台开发",SUMIFS('人力工时数据'!$E:$E,'人力工时数据'!$H:$H,"工具项目",'人力工时数据'!$B:$B,I$10),0))</f>
        <v>0</v>
      </c>
      <c r="J14" s="79" t="n">
        <f>IF(J$10="测试部-应用软件测试-云服务",SUMIFS('人力工时数据'!$D:$D,'人力工时数据'!$H:$H,"工具项目",'人力工时数据'!$B:$B,J$10),SUMIFS('人力工时数据'!$C:$C,'人力工时数据'!$H:$H,"工具项目",'人力工时数据'!$B:$B,J$10)+IF(LEFT(J$10,4)="中台开发",SUMIFS('人力工时数据'!$E:$E,'人力工时数据'!$H:$H,"工具项目",'人力工时数据'!$B:$B,J$10),0))</f>
        <v>0</v>
      </c>
      <c r="K14" s="79" t="n">
        <f>IF(K$10="测试部-应用软件测试-云服务",SUMIFS('人力工时数据'!$D:$D,'人力工时数据'!$H:$H,"工具项目",'人力工时数据'!$B:$B,K$10),SUMIFS('人力工时数据'!$C:$C,'人力工时数据'!$H:$H,"工具项目",'人力工时数据'!$B:$B,K$10)+IF(LEFT(K$10,4)="中台开发",SUMIFS('人力工时数据'!$E:$E,'人力工时数据'!$H:$H,"工具项目",'人力工时数据'!$B:$B,K$10),0))</f>
        <v>0</v>
      </c>
      <c r="L14" s="79" t="n">
        <f>IF(L$10="测试部-应用软件测试-云服务",SUMIFS('人力工时数据'!$D:$D,'人力工时数据'!$H:$H,"工具项目",'人力工时数据'!$B:$B,L$10),SUMIFS('人力工时数据'!$C:$C,'人力工时数据'!$H:$H,"工具项目",'人力工时数据'!$B:$B,L$10)+IF(LEFT(L$10,4)="中台开发",SUMIFS('人力工时数据'!$E:$E,'人力工时数据'!$H:$H,"工具项目",'人力工时数据'!$B:$B,L$10),0))</f>
        <v>0</v>
      </c>
      <c r="M14" s="79" t="n">
        <f>IF(M$10="测试部-应用软件测试-云服务",SUMIFS('人力工时数据'!$D:$D,'人力工时数据'!$H:$H,"工具项目",'人力工时数据'!$B:$B,M$10),SUMIFS('人力工时数据'!$C:$C,'人力工时数据'!$H:$H,"工具项目",'人力工时数据'!$B:$B,M$10)+IF(LEFT(M$10,4)="中台开发",SUMIFS('人力工时数据'!$E:$E,'人力工时数据'!$H:$H,"工具项目",'人力工时数据'!$B:$B,M$10),0))</f>
        <v>0</v>
      </c>
      <c r="N14" s="79" t="n">
        <f>IF(N$10="测试部-应用软件测试-云服务",SUMIFS('人力工时数据'!$D:$D,'人力工时数据'!$H:$H,"工具项目",'人力工时数据'!$B:$B,N$10),SUMIFS('人力工时数据'!$C:$C,'人力工时数据'!$H:$H,"工具项目",'人力工时数据'!$B:$B,N$10)+IF(LEFT(N$10,4)="中台开发",SUMIFS('人力工时数据'!$E:$E,'人力工时数据'!$H:$H,"工具项目",'人力工时数据'!$B:$B,N$10),0))</f>
        <v>6</v>
      </c>
      <c r="O14" s="79" t="n">
        <f>IF(O$10="测试部-应用软件测试-云服务",SUMIFS('人力工时数据'!$D:$D,'人力工时数据'!$H:$H,"工具项目",'人力工时数据'!$B:$B,O$10),SUMIFS('人力工时数据'!$C:$C,'人力工时数据'!$H:$H,"工具项目",'人力工时数据'!$B:$B,O$10)+IF(LEFT(O$10,4)="中台开发",SUMIFS('人力工时数据'!$E:$E,'人力工时数据'!$H:$H,"工具项目",'人力工时数据'!$B:$B,O$10),0))</f>
        <v>0</v>
      </c>
      <c r="P14" s="79" t="n">
        <f>IF(P$10="测试部-应用软件测试-云服务",SUMIFS('人力工时数据'!$D:$D,'人力工时数据'!$H:$H,"工具项目",'人力工时数据'!$B:$B,P$10),SUMIFS('人力工时数据'!$C:$C,'人力工时数据'!$H:$H,"工具项目",'人力工时数据'!$B:$B,P$10)+IF(LEFT(P$10,4)="中台开发",SUMIFS('人力工时数据'!$E:$E,'人力工时数据'!$H:$H,"工具项目",'人力工时数据'!$B:$B,P$10),0))</f>
        <v>0</v>
      </c>
      <c r="Q14" s="79" t="n">
        <f>IF(Q$10="测试部-应用软件测试-云服务",SUMIFS('人力工时数据'!$D:$D,'人力工时数据'!$H:$H,"工具项目",'人力工时数据'!$B:$B,Q$10),SUMIFS('人力工时数据'!$C:$C,'人力工时数据'!$H:$H,"工具项目",'人力工时数据'!$B:$B,Q$10)+IF(LEFT(Q$10,4)="中台开发",SUMIFS('人力工时数据'!$E:$E,'人力工时数据'!$H:$H,"工具项目",'人力工时数据'!$B:$B,Q$10),0))</f>
        <v>0</v>
      </c>
      <c r="R14" s="79" t="n">
        <f>IF(R$10="测试部-应用软件测试-云服务",SUMIFS('人力工时数据'!$D:$D,'人力工时数据'!$H:$H,"工具项目",'人力工时数据'!$B:$B,R$10),SUMIFS('人力工时数据'!$C:$C,'人力工时数据'!$H:$H,"工具项目",'人力工时数据'!$B:$B,R$10)+IF(LEFT(R$10,4)="中台开发",SUMIFS('人力工时数据'!$E:$E,'人力工时数据'!$H:$H,"工具项目",'人力工时数据'!$B:$B,R$10),0))</f>
        <v>0</v>
      </c>
      <c r="S14" s="83" t="n">
        <f>SUM(B14:R14)</f>
        <v>7</v>
      </c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</row>
    <row r="15" ht="16.5" customHeight="1">
      <c r="A15" s="78" t="s">
        <v>89</v>
      </c>
      <c r="B15" s="79" t="n">
        <f>IF(B$10="测试部-应用软件测试-云服务",SUMIFS('人力工时数据'!$D:$D,'人力工时数据'!$H:$H,"智慧能源产品中心",'人力工时数据'!$B:$B,B$10),SUMIFS('人力工时数据'!$C:$C,'人力工时数据'!$H:$H,"智慧能源产品中心",'人力工时数据'!$B:$B,B$10)+IF(LEFT(B$10,4)="中台开发",SUMIFS('人力工时数据'!$E:$E,'人力工时数据'!$H:$H,"智慧能源产品中心",'人力工时数据'!$B:$B,B$10),0))</f>
        <v>112.5</v>
      </c>
      <c r="C15" s="79" t="n">
        <f>IF(C$10="测试部-应用软件测试-云服务",SUMIFS('人力工时数据'!$D:$D,'人力工时数据'!$H:$H,"智慧能源产品中心",'人力工时数据'!$B:$B,C$10),SUMIFS('人力工时数据'!$C:$C,'人力工时数据'!$H:$H,"智慧能源产品中心",'人力工时数据'!$B:$B,C$10)+IF(LEFT(C$10,4)="中台开发",SUMIFS('人力工时数据'!$E:$E,'人力工时数据'!$H:$H,"智慧能源产品中心",'人力工时数据'!$B:$B,C$10),0))</f>
        <v>49</v>
      </c>
      <c r="D15" s="79" t="n">
        <f>IF(D$10="测试部-应用软件测试-云服务",SUMIFS('人力工时数据'!$D:$D,'人力工时数据'!$H:$H,"智慧能源产品中心",'人力工时数据'!$B:$B,D$10),SUMIFS('人力工时数据'!$C:$C,'人力工时数据'!$H:$H,"智慧能源产品中心",'人力工时数据'!$B:$B,D$10)+IF(LEFT(D$10,4)="中台开发",SUMIFS('人力工时数据'!$E:$E,'人力工时数据'!$H:$H,"智慧能源产品中心",'人力工时数据'!$B:$B,D$10),0))</f>
        <v>227.5</v>
      </c>
      <c r="E15" s="79" t="n">
        <f>IF(E$10="测试部-应用软件测试-云服务",SUMIFS('人力工时数据'!$D:$D,'人力工时数据'!$H:$H,"智慧能源产品中心",'人力工时数据'!$B:$B,E$10),SUMIFS('人力工时数据'!$C:$C,'人力工时数据'!$H:$H,"智慧能源产品中心",'人力工时数据'!$B:$B,E$10)+IF(LEFT(E$10,4)="中台开发",SUMIFS('人力工时数据'!$E:$E,'人力工时数据'!$H:$H,"智慧能源产品中心",'人力工时数据'!$B:$B,E$10),0))</f>
        <v>70</v>
      </c>
      <c r="F15" s="79" t="n">
        <f>IF(F$10="测试部-应用软件测试-云服务",SUMIFS('人力工时数据'!$D:$D,'人力工时数据'!$H:$H,"智慧能源产品中心",'人力工时数据'!$B:$B,F$10),SUMIFS('人力工时数据'!$C:$C,'人力工时数据'!$H:$H,"智慧能源产品中心",'人力工时数据'!$B:$B,F$10)+IF(LEFT(F$10,4)="中台开发",SUMIFS('人力工时数据'!$E:$E,'人力工时数据'!$H:$H,"智慧能源产品中心",'人力工时数据'!$B:$B,F$10),0))</f>
        <v>148.5</v>
      </c>
      <c r="G15" s="79" t="n">
        <f>IF(G$10="测试部-应用软件测试-云服务",SUMIFS('人力工时数据'!$D:$D,'人力工时数据'!$H:$H,"智慧能源产品中心",'人力工时数据'!$B:$B,G$10),SUMIFS('人力工时数据'!$C:$C,'人力工时数据'!$H:$H,"智慧能源产品中心",'人力工时数据'!$B:$B,G$10)+IF(LEFT(G$10,4)="中台开发",SUMIFS('人力工时数据'!$E:$E,'人力工时数据'!$H:$H,"智慧能源产品中心",'人力工时数据'!$B:$B,G$10),0))</f>
        <v>0</v>
      </c>
      <c r="H15" s="79" t="n">
        <f>IF(H$10="测试部-应用软件测试-云服务",SUMIFS('人力工时数据'!$D:$D,'人力工时数据'!$H:$H,"智慧能源产品中心",'人力工时数据'!$B:$B,H$10),SUMIFS('人力工时数据'!$C:$C,'人力工时数据'!$H:$H,"智慧能源产品中心",'人力工时数据'!$B:$B,H$10)+IF(LEFT(H$10,4)="中台开发",SUMIFS('人力工时数据'!$E:$E,'人力工时数据'!$H:$H,"智慧能源产品中心",'人力工时数据'!$B:$B,H$10),0))</f>
        <v>173</v>
      </c>
      <c r="I15" s="79" t="n">
        <f>IF(I$10="测试部-应用软件测试-云服务",SUMIFS('人力工时数据'!$D:$D,'人力工时数据'!$H:$H,"智慧能源产品中心",'人力工时数据'!$B:$B,I$10),SUMIFS('人力工时数据'!$C:$C,'人力工时数据'!$H:$H,"智慧能源产品中心",'人力工时数据'!$B:$B,I$10)+IF(LEFT(I$10,4)="中台开发",SUMIFS('人力工时数据'!$E:$E,'人力工时数据'!$H:$H,"智慧能源产品中心",'人力工时数据'!$B:$B,I$10),0))</f>
        <v>74</v>
      </c>
      <c r="J15" s="79" t="n">
        <f>IF(J$10="测试部-应用软件测试-云服务",SUMIFS('人力工时数据'!$D:$D,'人力工时数据'!$H:$H,"智慧能源产品中心",'人力工时数据'!$B:$B,J$10),SUMIFS('人力工时数据'!$C:$C,'人力工时数据'!$H:$H,"智慧能源产品中心",'人力工时数据'!$B:$B,J$10)+IF(LEFT(J$10,4)="中台开发",SUMIFS('人力工时数据'!$E:$E,'人力工时数据'!$H:$H,"智慧能源产品中心",'人力工时数据'!$B:$B,J$10),0))</f>
        <v>225</v>
      </c>
      <c r="K15" s="79" t="n">
        <f>IF(K$10="测试部-应用软件测试-云服务",SUMIFS('人力工时数据'!$D:$D,'人力工时数据'!$H:$H,"智慧能源产品中心",'人力工时数据'!$B:$B,K$10),SUMIFS('人力工时数据'!$C:$C,'人力工时数据'!$H:$H,"智慧能源产品中心",'人力工时数据'!$B:$B,K$10)+IF(LEFT(K$10,4)="中台开发",SUMIFS('人力工时数据'!$E:$E,'人力工时数据'!$H:$H,"智慧能源产品中心",'人力工时数据'!$B:$B,K$10),0))</f>
        <v>83</v>
      </c>
      <c r="L15" s="79" t="n">
        <f>IF(L$10="测试部-应用软件测试-云服务",SUMIFS('人力工时数据'!$D:$D,'人力工时数据'!$H:$H,"智慧能源产品中心",'人力工时数据'!$B:$B,L$10),SUMIFS('人力工时数据'!$C:$C,'人力工时数据'!$H:$H,"智慧能源产品中心",'人力工时数据'!$B:$B,L$10)+IF(LEFT(L$10,4)="中台开发",SUMIFS('人力工时数据'!$E:$E,'人力工时数据'!$H:$H,"智慧能源产品中心",'人力工时数据'!$B:$B,L$10),0))</f>
        <v>0</v>
      </c>
      <c r="M15" s="79" t="n">
        <f>IF(M$10="测试部-应用软件测试-云服务",SUMIFS('人力工时数据'!$D:$D,'人力工时数据'!$H:$H,"智慧能源产品中心",'人力工时数据'!$B:$B,M$10),SUMIFS('人力工时数据'!$C:$C,'人力工时数据'!$H:$H,"智慧能源产品中心",'人力工时数据'!$B:$B,M$10)+IF(LEFT(M$10,4)="中台开发",SUMIFS('人力工时数据'!$E:$E,'人力工时数据'!$H:$H,"智慧能源产品中心",'人力工时数据'!$B:$B,M$10),0))</f>
        <v>0</v>
      </c>
      <c r="N15" s="79" t="n">
        <f>IF(N$10="测试部-应用软件测试-云服务",SUMIFS('人力工时数据'!$D:$D,'人力工时数据'!$H:$H,"智慧能源产品中心",'人力工时数据'!$B:$B,N$10),SUMIFS('人力工时数据'!$C:$C,'人力工时数据'!$H:$H,"智慧能源产品中心",'人力工时数据'!$B:$B,N$10)+IF(LEFT(N$10,4)="中台开发",SUMIFS('人力工时数据'!$E:$E,'人力工时数据'!$H:$H,"智慧能源产品中心",'人力工时数据'!$B:$B,N$10),0))</f>
        <v>266</v>
      </c>
      <c r="O15" s="79" t="n">
        <f>IF(O$10="测试部-应用软件测试-云服务",SUMIFS('人力工时数据'!$D:$D,'人力工时数据'!$H:$H,"智慧能源产品中心",'人力工时数据'!$B:$B,O$10),SUMIFS('人力工时数据'!$C:$C,'人力工时数据'!$H:$H,"智慧能源产品中心",'人力工时数据'!$B:$B,O$10)+IF(LEFT(O$10,4)="中台开发",SUMIFS('人力工时数据'!$E:$E,'人力工时数据'!$H:$H,"智慧能源产品中心",'人力工时数据'!$B:$B,O$10),0))</f>
        <v>76</v>
      </c>
      <c r="P15" s="79" t="n">
        <f>IF(P$10="测试部-应用软件测试-云服务",SUMIFS('人力工时数据'!$D:$D,'人力工时数据'!$H:$H,"智慧能源产品中心",'人力工时数据'!$B:$B,P$10),SUMIFS('人力工时数据'!$C:$C,'人力工时数据'!$H:$H,"智慧能源产品中心",'人力工时数据'!$B:$B,P$10)+IF(LEFT(P$10,4)="中台开发",SUMIFS('人力工时数据'!$E:$E,'人力工时数据'!$H:$H,"智慧能源产品中心",'人力工时数据'!$B:$B,P$10),0))</f>
        <v>15</v>
      </c>
      <c r="Q15" s="79" t="n">
        <f>IF(Q$10="测试部-应用软件测试-云服务",SUMIFS('人力工时数据'!$D:$D,'人力工时数据'!$H:$H,"智慧能源产品中心",'人力工时数据'!$B:$B,Q$10),SUMIFS('人力工时数据'!$C:$C,'人力工时数据'!$H:$H,"智慧能源产品中心",'人力工时数据'!$B:$B,Q$10)+IF(LEFT(Q$10,4)="中台开发",SUMIFS('人力工时数据'!$E:$E,'人力工时数据'!$H:$H,"智慧能源产品中心",'人力工时数据'!$B:$B,Q$10),0))</f>
        <v>10</v>
      </c>
      <c r="R15" s="79" t="n">
        <f>IF(R$10="测试部-应用软件测试-云服务",SUMIFS('人力工时数据'!$D:$D,'人力工时数据'!$H:$H,"智慧能源产品中心",'人力工时数据'!$B:$B,R$10),SUMIFS('人力工时数据'!$C:$C,'人力工时数据'!$H:$H,"智慧能源产品中心",'人力工时数据'!$B:$B,R$10)+IF(LEFT(R$10,4)="中台开发",SUMIFS('人力工时数据'!$E:$E,'人力工时数据'!$H:$H,"智慧能源产品中心",'人力工时数据'!$B:$B,R$10),0))</f>
        <v>18</v>
      </c>
      <c r="S15" s="83" t="n">
        <f>SUM(B15:R15)</f>
        <v>1547.5</v>
      </c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</row>
    <row r="16" ht="16.5" customHeight="1">
      <c r="A16" s="81" t="s">
        <v>56</v>
      </c>
      <c r="B16" s="82" t="n">
        <v>224.5</v>
      </c>
      <c r="C16" s="82" t="n">
        <v>49</v>
      </c>
      <c r="D16" s="82" t="n">
        <v>429.6</v>
      </c>
      <c r="E16" s="82" t="n">
        <v>96</v>
      </c>
      <c r="F16" s="82" t="n">
        <v>225.5</v>
      </c>
      <c r="G16" s="82" t="n">
        <v>0</v>
      </c>
      <c r="H16" s="82" t="n">
        <v>253</v>
      </c>
      <c r="I16" s="82" t="n">
        <v>146</v>
      </c>
      <c r="J16" s="82" t="n">
        <v>320</v>
      </c>
      <c r="K16" s="82" t="n">
        <v>125</v>
      </c>
      <c r="L16" s="82" t="n">
        <v>0</v>
      </c>
      <c r="M16" s="82" t="n">
        <v>0</v>
      </c>
      <c r="N16" s="82" t="n">
        <v>481</v>
      </c>
      <c r="O16" s="82" t="n">
        <v>129</v>
      </c>
      <c r="P16" s="82" t="n">
        <v>15</v>
      </c>
      <c r="Q16" s="82" t="n">
        <v>10</v>
      </c>
      <c r="R16" s="82" t="n">
        <v>18</v>
      </c>
      <c r="S16" s="82" t="n">
        <f>SUM(S11:S15)</f>
        <v>2521.6</v>
      </c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</row>
    <row r="17" ht="16.5" customHeight="1">
      <c r="A17" s="14"/>
      <c r="B17" s="14"/>
      <c r="C17" s="14"/>
      <c r="D17" s="14"/>
      <c r="E17" s="14"/>
      <c r="F17" s="14"/>
      <c r="G17" s="14"/>
      <c r="H17" s="14"/>
      <c r="I17" s="1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ht="16.5" customHeight="1">
      <c r="A19" s="7" t="s">
        <v>90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ht="16.5" customHeight="1">
      <c r="A20" s="24" t="s">
        <v>91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24" t="s">
        <v>92</v>
      </c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ht="41.25" customHeight="1">
      <c r="A21" s="8" t="s">
        <v>93</v>
      </c>
      <c r="B21" s="8" t="s">
        <v>61</v>
      </c>
      <c r="C21" s="8" t="s">
        <v>62</v>
      </c>
      <c r="D21" s="8" t="s">
        <v>63</v>
      </c>
      <c r="E21" s="8" t="s">
        <v>64</v>
      </c>
      <c r="F21" s="8" t="s">
        <v>65</v>
      </c>
      <c r="G21" s="8" t="s">
        <v>66</v>
      </c>
      <c r="H21" s="8" t="s">
        <v>67</v>
      </c>
      <c r="I21" s="8" t="s">
        <v>68</v>
      </c>
      <c r="J21" s="8" t="s">
        <v>69</v>
      </c>
      <c r="K21" s="8" t="s">
        <v>70</v>
      </c>
      <c r="L21" s="8" t="s">
        <v>71</v>
      </c>
      <c r="M21" s="8" t="s">
        <v>72</v>
      </c>
      <c r="N21" s="8" t="s">
        <v>73</v>
      </c>
      <c r="O21" s="8" t="s">
        <v>74</v>
      </c>
      <c r="P21" s="8" t="s">
        <v>75</v>
      </c>
      <c r="Q21" s="8" t="s">
        <v>76</v>
      </c>
      <c r="R21" s="8" t="s">
        <v>77</v>
      </c>
      <c r="S21" s="8" t="s">
        <v>38</v>
      </c>
      <c r="T21" s="8" t="s">
        <v>94</v>
      </c>
      <c r="U21" s="8" t="s">
        <v>95</v>
      </c>
      <c r="V21" s="8" t="s">
        <v>96</v>
      </c>
      <c r="W21" s="8" t="s">
        <v>97</v>
      </c>
      <c r="X21" s="8" t="s">
        <v>98</v>
      </c>
      <c r="Y21" s="8" t="s">
        <v>99</v>
      </c>
      <c r="Z21" s="8" t="s">
        <v>100</v>
      </c>
      <c r="AA21" s="8" t="s">
        <v>101</v>
      </c>
      <c r="AB21" s="8" t="s">
        <v>102</v>
      </c>
      <c r="AC21" s="8" t="s">
        <v>103</v>
      </c>
      <c r="AD21" s="8" t="s">
        <v>104</v>
      </c>
      <c r="AE21" s="8" t="s">
        <v>105</v>
      </c>
      <c r="AF21" s="8" t="s">
        <v>106</v>
      </c>
      <c r="AG21" s="8" t="s">
        <v>107</v>
      </c>
      <c r="AH21" s="8" t="s">
        <v>108</v>
      </c>
      <c r="AI21" s="8" t="s">
        <v>109</v>
      </c>
      <c r="AJ21" s="8" t="s">
        <v>110</v>
      </c>
      <c r="AK21" s="8" t="s">
        <v>111</v>
      </c>
      <c r="AL21" s="8" t="s">
        <v>112</v>
      </c>
      <c r="AM21" s="8" t="s">
        <v>113</v>
      </c>
    </row>
    <row r="22" ht="16.5" customHeight="1">
      <c r="A22" s="8" t="s">
        <v>114</v>
      </c>
      <c r="B22" s="19" t="n">
        <f>'7月产能数据'!B3</f>
        <v>6</v>
      </c>
      <c r="C22" s="19" t="n">
        <f>'7月产能数据'!C3</f>
        <v>0</v>
      </c>
      <c r="D22" s="19" t="n">
        <f>'7月产能数据'!D3</f>
        <v>6</v>
      </c>
      <c r="E22" s="19" t="n">
        <f>'7月产能数据'!E3</f>
        <v>4.5</v>
      </c>
      <c r="F22" s="19" t="n">
        <f>'7月产能数据'!F3</f>
        <v>4.7</v>
      </c>
      <c r="G22" s="19" t="n">
        <f>'7月产能数据'!G3</f>
        <v>0</v>
      </c>
      <c r="H22" s="19" t="n">
        <f>'7月产能数据'!H3</f>
        <v>9</v>
      </c>
      <c r="I22" s="19" t="n">
        <v>5</v>
      </c>
      <c r="J22" s="19" t="n">
        <f>'7月产能数据'!J3</f>
        <v>11</v>
      </c>
      <c r="K22" s="19" t="n">
        <f>'7月产能数据'!K3</f>
        <v>6</v>
      </c>
      <c r="L22" s="19" t="n">
        <f>'7月产能数据'!M3</f>
        <v>0</v>
      </c>
      <c r="M22" s="19" t="n">
        <f>'7月产能数据'!N3</f>
        <v>0</v>
      </c>
      <c r="N22" s="19" t="n">
        <f>'7月产能数据'!O3</f>
        <v>5.5</v>
      </c>
      <c r="O22" s="19" t="n">
        <f>'7月产能数据'!P3</f>
        <v>2.5</v>
      </c>
      <c r="P22" s="19" t="n">
        <v>8</v>
      </c>
      <c r="Q22" s="19" t="n">
        <v>3</v>
      </c>
      <c r="R22" s="19" t="n">
        <v>3</v>
      </c>
      <c r="S22" s="19" t="n">
        <f>SUM(B22:R22)</f>
        <v>74.2</v>
      </c>
      <c r="T22" s="10" t="n">
        <f>Q28</f>
        <v>16</v>
      </c>
      <c r="U22" s="19" t="n">
        <f>B22*$T$22</f>
        <v>96</v>
      </c>
      <c r="V22" s="19" t="n">
        <f>C22*$T$22</f>
        <v>0</v>
      </c>
      <c r="W22" s="19" t="n">
        <f>D22*$T$22</f>
        <v>96</v>
      </c>
      <c r="X22" s="19" t="n">
        <f>E22*$T$22</f>
        <v>72</v>
      </c>
      <c r="Y22" s="19" t="n">
        <f>F22*$T$22</f>
        <v>75.2</v>
      </c>
      <c r="Z22" s="19" t="n">
        <f>G22*$T$22</f>
        <v>0</v>
      </c>
      <c r="AA22" s="19" t="n">
        <f>H22*$T$22</f>
        <v>144</v>
      </c>
      <c r="AB22" s="19" t="n">
        <f>I22*$T$22</f>
        <v>80</v>
      </c>
      <c r="AC22" s="19" t="n">
        <f>J22*$T$22</f>
        <v>176</v>
      </c>
      <c r="AD22" s="19" t="n">
        <f>K22*$T$22</f>
        <v>96</v>
      </c>
      <c r="AE22" s="19" t="e">
        <f>#REF!*$T$22</f>
        <v>#REF!</v>
      </c>
      <c r="AF22" s="19" t="n">
        <f>L22*$T$22</f>
        <v>0</v>
      </c>
      <c r="AG22" s="19" t="n">
        <f>M22*$T$22</f>
        <v>0</v>
      </c>
      <c r="AH22" s="19" t="n">
        <f>N22*$T$22</f>
        <v>88</v>
      </c>
      <c r="AI22" s="19" t="n">
        <f>O22*$T$22</f>
        <v>40</v>
      </c>
      <c r="AJ22" s="19" t="n">
        <f>P22*$T$22</f>
        <v>128</v>
      </c>
      <c r="AK22" s="19" t="n">
        <f>Q22*$T$22</f>
        <v>48</v>
      </c>
      <c r="AL22" s="19" t="n">
        <f>R22*$T$22</f>
        <v>48</v>
      </c>
      <c r="AM22" s="19" t="e">
        <f>SUM(U22:AL22)</f>
        <v>#REF!</v>
      </c>
    </row>
    <row r="23" ht="16.5" customHeight="1">
      <c r="A23" s="8" t="s">
        <v>115</v>
      </c>
      <c r="B23" s="19" t="n">
        <f>'7月产能数据'!B4</f>
        <v>2</v>
      </c>
      <c r="C23" s="19" t="n">
        <f>'7月产能数据'!C4</f>
        <v>0</v>
      </c>
      <c r="D23" s="19" t="n">
        <f>'7月产能数据'!D4</f>
        <v>2.5</v>
      </c>
      <c r="E23" s="19" t="n">
        <f>'7月产能数据'!E4</f>
        <v>0</v>
      </c>
      <c r="F23" s="19" t="n">
        <f>'7月产能数据'!F4</f>
        <v>1</v>
      </c>
      <c r="G23" s="19" t="n">
        <f>'7月产能数据'!G4</f>
        <v>0</v>
      </c>
      <c r="H23" s="19" t="n">
        <f>'7月产能数据'!H4</f>
        <v>0</v>
      </c>
      <c r="I23" s="19" t="n">
        <f>'7月产能数据'!I4</f>
        <v>0</v>
      </c>
      <c r="J23" s="19" t="n">
        <f>'7月产能数据'!J4</f>
        <v>0</v>
      </c>
      <c r="K23" s="19" t="n">
        <f>'7月产能数据'!K4</f>
        <v>0</v>
      </c>
      <c r="L23" s="19" t="n">
        <f>'7月产能数据'!M4</f>
        <v>0</v>
      </c>
      <c r="M23" s="19" t="n">
        <f>'7月产能数据'!N4</f>
        <v>0</v>
      </c>
      <c r="N23" s="19" t="n">
        <f>'7月产能数据'!O4</f>
        <v>11</v>
      </c>
      <c r="O23" s="19" t="n">
        <f>'7月产能数据'!P4</f>
        <v>1</v>
      </c>
      <c r="P23" s="19" t="n">
        <f>'7月产能数据'!Q4</f>
        <v>0</v>
      </c>
      <c r="Q23" s="19" t="n">
        <f>'7月产能数据'!R4</f>
        <v>0</v>
      </c>
      <c r="R23" s="19" t="n">
        <f>'7月产能数据'!S4</f>
        <v>0</v>
      </c>
      <c r="S23" s="19" t="n">
        <f>SUM(B23:R23)</f>
        <v>17.5</v>
      </c>
      <c r="T23" s="19" t="n">
        <f>$T$22</f>
        <v>16</v>
      </c>
      <c r="U23" s="19" t="n">
        <f>B23*$T$22</f>
        <v>32</v>
      </c>
      <c r="V23" s="19" t="n">
        <f>C23*$T$22</f>
        <v>0</v>
      </c>
      <c r="W23" s="19" t="n">
        <f>D23*$T$22</f>
        <v>40</v>
      </c>
      <c r="X23" s="19" t="n">
        <f>E23*$T$22</f>
        <v>0</v>
      </c>
      <c r="Y23" s="19" t="n">
        <f>F23*$T$22</f>
        <v>16</v>
      </c>
      <c r="Z23" s="19" t="n">
        <f>G23*$T$22</f>
        <v>0</v>
      </c>
      <c r="AA23" s="19" t="n">
        <f>H23*$T$22</f>
        <v>0</v>
      </c>
      <c r="AB23" s="19" t="n">
        <f>I23*$T$22</f>
        <v>0</v>
      </c>
      <c r="AC23" s="19" t="n">
        <f>J23*$T$22</f>
        <v>0</v>
      </c>
      <c r="AD23" s="19" t="n">
        <f>K23*$T$22</f>
        <v>0</v>
      </c>
      <c r="AE23" s="19" t="e">
        <f>#REF!*$T$22</f>
        <v>#REF!</v>
      </c>
      <c r="AF23" s="19" t="n">
        <f>L23*$T$22</f>
        <v>0</v>
      </c>
      <c r="AG23" s="19" t="n">
        <f>M23*$T$22</f>
        <v>0</v>
      </c>
      <c r="AH23" s="19" t="n">
        <f>N23*$T$22</f>
        <v>176</v>
      </c>
      <c r="AI23" s="19" t="n">
        <f>O23*$T$22</f>
        <v>16</v>
      </c>
      <c r="AJ23" s="19" t="n">
        <f>P23*$T$22</f>
        <v>0</v>
      </c>
      <c r="AK23" s="19" t="n">
        <f>Q23*$T$22</f>
        <v>0</v>
      </c>
      <c r="AL23" s="19" t="n">
        <f>R23*$T$22</f>
        <v>0</v>
      </c>
      <c r="AM23" s="19" t="e">
        <f>SUM(U23:AL23)</f>
        <v>#REF!</v>
      </c>
    </row>
    <row r="24" ht="16.5" customHeight="1">
      <c r="A24" s="11" t="s">
        <v>116</v>
      </c>
      <c r="B24" s="11" t="n">
        <f>SUM(B22:B23)</f>
        <v>8</v>
      </c>
      <c r="C24" s="11" t="n">
        <f>SUM(C22:C23)</f>
        <v>0</v>
      </c>
      <c r="D24" s="11" t="n">
        <f>SUM(D22:D23)</f>
        <v>8.5</v>
      </c>
      <c r="E24" s="11" t="n">
        <f>SUM(E22:E23)</f>
        <v>4.5</v>
      </c>
      <c r="F24" s="11" t="n">
        <f>SUM(F22:F23)</f>
        <v>5.7</v>
      </c>
      <c r="G24" s="11" t="n">
        <f>SUM(G22:G23)</f>
        <v>0</v>
      </c>
      <c r="H24" s="11" t="n">
        <f>SUM(H22:H23)</f>
        <v>9</v>
      </c>
      <c r="I24" s="11" t="n">
        <v>5</v>
      </c>
      <c r="J24" s="11" t="n">
        <f>SUM(J22:J23)</f>
        <v>11</v>
      </c>
      <c r="K24" s="11" t="n">
        <f>SUM(K22:K23)</f>
        <v>6</v>
      </c>
      <c r="L24" s="11" t="n">
        <f>SUM(L22:L23)</f>
        <v>0</v>
      </c>
      <c r="M24" s="11" t="n">
        <f>SUM(M22:M23)</f>
        <v>0</v>
      </c>
      <c r="N24" s="11" t="n">
        <f>SUM(N22:N23)</f>
        <v>16.5</v>
      </c>
      <c r="O24" s="11" t="n">
        <f>SUM(O22:O23)</f>
        <v>3.5</v>
      </c>
      <c r="P24" s="11" t="n">
        <f>SUM(P22:P23)</f>
        <v>8</v>
      </c>
      <c r="Q24" s="11" t="n">
        <f>SUM(Q22:Q23)</f>
        <v>3</v>
      </c>
      <c r="R24" s="11" t="n">
        <f>SUM(R22:R23)</f>
        <v>3</v>
      </c>
      <c r="S24" s="11" t="n">
        <f>SUM(B24:R24)</f>
        <v>91.7</v>
      </c>
      <c r="T24" s="11" t="n">
        <f>$T$22</f>
        <v>16</v>
      </c>
      <c r="U24" s="11" t="n">
        <f>B24*$T$22</f>
        <v>128</v>
      </c>
      <c r="V24" s="11" t="n">
        <f>C24*$T$22</f>
        <v>0</v>
      </c>
      <c r="W24" s="11" t="n">
        <f>D24*$T$22</f>
        <v>136</v>
      </c>
      <c r="X24" s="11" t="n">
        <f>E24*$T$22</f>
        <v>72</v>
      </c>
      <c r="Y24" s="11" t="n">
        <f>F24*$T$22</f>
        <v>91.2</v>
      </c>
      <c r="Z24" s="11" t="n">
        <f>G24*$T$22</f>
        <v>0</v>
      </c>
      <c r="AA24" s="11" t="n">
        <f>H24*$T$22</f>
        <v>144</v>
      </c>
      <c r="AB24" s="11" t="n">
        <f>I24*$T$22</f>
        <v>80</v>
      </c>
      <c r="AC24" s="11" t="n">
        <f>J24*$T$22</f>
        <v>176</v>
      </c>
      <c r="AD24" s="11" t="n">
        <f>K24*$T$22</f>
        <v>96</v>
      </c>
      <c r="AE24" s="11" t="e">
        <f>#REF!*$T$22</f>
        <v>#REF!</v>
      </c>
      <c r="AF24" s="11" t="n">
        <f>L24*$T$22</f>
        <v>0</v>
      </c>
      <c r="AG24" s="11" t="n">
        <f>M24*$T$22</f>
        <v>0</v>
      </c>
      <c r="AH24" s="11" t="n">
        <f>N24*$T$22</f>
        <v>264</v>
      </c>
      <c r="AI24" s="11" t="n">
        <f>O24*$T$22</f>
        <v>56</v>
      </c>
      <c r="AJ24" s="11" t="n">
        <f>P24*$T$22</f>
        <v>128</v>
      </c>
      <c r="AK24" s="11" t="n">
        <f>Q24*$T$22</f>
        <v>48</v>
      </c>
      <c r="AL24" s="11" t="n">
        <f>R24*$T$22</f>
        <v>48</v>
      </c>
      <c r="AM24" s="11" t="e">
        <f>SUM(U24:AL24)</f>
        <v>#REF!</v>
      </c>
    </row>
    <row r="25" ht="16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ht="16.5" customHeight="1">
      <c r="A26" s="7" t="s">
        <v>117</v>
      </c>
      <c r="B26" s="13"/>
      <c r="C26" s="13"/>
      <c r="D26" s="13"/>
      <c r="E26" s="13"/>
      <c r="F26" s="13"/>
      <c r="G26" s="6"/>
      <c r="H26" s="6"/>
      <c r="I26" s="6"/>
      <c r="M26" s="40" t="s">
        <v>48</v>
      </c>
      <c r="N26" s="37"/>
      <c r="O26" s="37"/>
      <c r="P26" s="37"/>
      <c r="Q26" s="37"/>
      <c r="R26" s="38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ht="27.75" customHeight="1">
      <c r="A27" s="8" t="s">
        <v>118</v>
      </c>
      <c r="B27" s="8" t="s">
        <v>78</v>
      </c>
      <c r="C27" s="86" t="s">
        <v>119</v>
      </c>
      <c r="D27" s="8" t="s">
        <v>120</v>
      </c>
      <c r="E27" s="8" t="s">
        <v>121</v>
      </c>
      <c r="F27" s="8" t="s">
        <v>122</v>
      </c>
      <c r="G27" s="87" t="s">
        <v>123</v>
      </c>
      <c r="H27" s="26" t="s">
        <v>120</v>
      </c>
      <c r="I27" s="26" t="s">
        <v>121</v>
      </c>
      <c r="J27" s="26"/>
      <c r="K27" s="26"/>
      <c r="M27" s="8" t="s">
        <v>50</v>
      </c>
      <c r="N27" s="8" t="s">
        <v>51</v>
      </c>
      <c r="O27" s="8" t="s">
        <v>52</v>
      </c>
      <c r="P27" s="8" t="s">
        <v>53</v>
      </c>
      <c r="Q27" s="8" t="s">
        <v>54</v>
      </c>
      <c r="R27" s="8" t="s">
        <v>55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ht="16.5" customHeight="1">
      <c r="A28" s="18" t="s">
        <v>61</v>
      </c>
      <c r="B28" s="27" t="n">
        <f>B16</f>
        <v>224.5</v>
      </c>
      <c r="C28" s="28" t="n">
        <f>B24*Q28</f>
        <v>128</v>
      </c>
      <c r="D28" s="43" t="n">
        <f>B28-C28</f>
        <v>96.5</v>
      </c>
      <c r="E28" s="21" t="n">
        <f>IFERROR(D28/C28,0)</f>
        <v>0.75390625</v>
      </c>
      <c r="F28" s="9"/>
      <c r="G28" s="47" t="n">
        <f>INDEX($B$24:$S$24,ROW(A1))*$Q$29</f>
        <v>224</v>
      </c>
      <c r="H28" s="28" t="n">
        <f>B28-G28</f>
        <v>0.5</v>
      </c>
      <c r="I28" s="20" t="n">
        <f>IFERROR(H28/G28,0)</f>
        <v>0.00223214285714286</v>
      </c>
      <c r="J28" s="70"/>
      <c r="K28" s="36"/>
      <c r="M28" s="12"/>
      <c r="N28" s="10" t="s">
        <v>124</v>
      </c>
      <c r="O28" s="39" t="n">
        <v>15</v>
      </c>
      <c r="P28" s="39" t="n">
        <v>1</v>
      </c>
      <c r="Q28" s="42" t="n">
        <f>SUM(O28:P28)</f>
        <v>16</v>
      </c>
      <c r="R28" s="10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ht="16.5" customHeight="1">
      <c r="A29" s="18" t="s">
        <v>62</v>
      </c>
      <c r="B29" s="27" t="n">
        <f>C16</f>
        <v>49</v>
      </c>
      <c r="C29" s="29" t="n">
        <f>C24*Q28</f>
        <v>0</v>
      </c>
      <c r="D29" s="41" t="n">
        <f>B29-C29</f>
        <v>49</v>
      </c>
      <c r="E29" s="21" t="n">
        <f>IFERROR(D29/C29,0)</f>
        <v>0</v>
      </c>
      <c r="F29" s="9"/>
      <c r="G29" s="47" t="n">
        <f>INDEX($B$24:$S$24,ROW(A2))*$Q$29</f>
        <v>0</v>
      </c>
      <c r="H29" s="47" t="n">
        <f>B29-G29</f>
        <v>49</v>
      </c>
      <c r="I29" s="20" t="n">
        <f>IFERROR(H29/G29,0)</f>
        <v>0</v>
      </c>
      <c r="J29" s="70"/>
      <c r="K29" s="36"/>
      <c r="L29" s="15"/>
      <c r="M29" s="50" t="n">
        <v>8.1</v>
      </c>
      <c r="N29" s="51" t="n">
        <v>8.13</v>
      </c>
      <c r="O29" s="52" t="n">
        <v>25</v>
      </c>
      <c r="P29" s="52" t="n">
        <v>3</v>
      </c>
      <c r="Q29" s="53" t="n">
        <f>SUM(O29:P29)</f>
        <v>28</v>
      </c>
      <c r="R29" s="4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ht="16.5" customHeight="1">
      <c r="A30" s="18" t="s">
        <v>63</v>
      </c>
      <c r="B30" s="27" t="n">
        <v>294.1</v>
      </c>
      <c r="C30" s="29" t="n">
        <f>D24*Q28</f>
        <v>136</v>
      </c>
      <c r="D30" s="43" t="n">
        <f>B30-C30</f>
        <v>158.1</v>
      </c>
      <c r="E30" s="21" t="n">
        <f>IFERROR(D30/C30,0)</f>
        <v>1.1625</v>
      </c>
      <c r="F30" s="9"/>
      <c r="G30" s="47" t="n">
        <f>INDEX($B$24:$S$24,ROW(A3))*$Q$29</f>
        <v>238</v>
      </c>
      <c r="H30" s="22" t="n">
        <f>B30-G30</f>
        <v>56.1</v>
      </c>
      <c r="I30" s="20" t="n">
        <f>IFERROR(H30/G30,0)</f>
        <v>0.235714285714286</v>
      </c>
      <c r="J30" s="70"/>
      <c r="K30" s="36"/>
      <c r="L30" s="6"/>
      <c r="M30" s="44"/>
      <c r="N30" s="72" t="n">
        <v>8.27</v>
      </c>
      <c r="O30" s="45" t="n">
        <v>35</v>
      </c>
      <c r="P30" s="45" t="n">
        <v>4</v>
      </c>
      <c r="Q30" s="42" t="n">
        <f>SUM(O30:P30)</f>
        <v>39</v>
      </c>
      <c r="R30" s="4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 ht="16.5" customHeight="1">
      <c r="A31" s="18" t="s">
        <v>64</v>
      </c>
      <c r="B31" s="27" t="n">
        <v>118</v>
      </c>
      <c r="C31" s="29" t="n">
        <f>E24*Q28</f>
        <v>72</v>
      </c>
      <c r="D31" s="41" t="n">
        <f>B31-C31</f>
        <v>46</v>
      </c>
      <c r="E31" s="21" t="n">
        <f>IFERROR(D31/C31,0)</f>
        <v>0.638888888888889</v>
      </c>
      <c r="F31" s="9"/>
      <c r="G31" s="47" t="n">
        <f>INDEX($B$24:$S$24,ROW(A4))*$Q$29</f>
        <v>126</v>
      </c>
      <c r="H31" s="47" t="n">
        <f>B31-G31</f>
        <v>-8</v>
      </c>
      <c r="I31" s="20" t="n">
        <f>IFERROR(H31/G31,0)</f>
        <v>-0.0634920634920635</v>
      </c>
      <c r="J31" s="70"/>
      <c r="K31" s="36"/>
      <c r="L31" s="6"/>
      <c r="M31" s="88" t="s">
        <v>57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ht="16.5" customHeight="1">
      <c r="A32" s="18" t="s">
        <v>65</v>
      </c>
      <c r="B32" s="27" t="n">
        <f>F16</f>
        <v>225.5</v>
      </c>
      <c r="C32" s="29" t="n">
        <f>F24*Q28</f>
        <v>91.2</v>
      </c>
      <c r="D32" s="43" t="n">
        <f>B32-C32</f>
        <v>134.3</v>
      </c>
      <c r="E32" s="21" t="n">
        <f>IFERROR(D32/C32,0)</f>
        <v>1.47258771929825</v>
      </c>
      <c r="F32" s="9"/>
      <c r="G32" s="47" t="n">
        <f>INDEX($B$24:$S$24,ROW(A5))*$Q$29</f>
        <v>159.6</v>
      </c>
      <c r="H32" s="28" t="n">
        <f>B32-G32</f>
        <v>65.9</v>
      </c>
      <c r="I32" s="20" t="n">
        <f>IFERROR(H32/G32,0)</f>
        <v>0.412907268170426</v>
      </c>
      <c r="J32" s="70"/>
      <c r="K32" s="36"/>
      <c r="L32" s="6"/>
      <c r="M32" s="48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ht="16.5" customHeight="1">
      <c r="A33" s="18" t="s">
        <v>66</v>
      </c>
      <c r="B33" s="27" t="n">
        <f>G16</f>
        <v>0</v>
      </c>
      <c r="C33" s="29" t="n">
        <f>G24*Q28</f>
        <v>0</v>
      </c>
      <c r="D33" s="41" t="n">
        <f>B33-C33</f>
        <v>0</v>
      </c>
      <c r="E33" s="21" t="n">
        <f>IFERROR(D33/C33,0)</f>
        <v>0</v>
      </c>
      <c r="F33" s="9"/>
      <c r="G33" s="47" t="n">
        <f>INDEX($B$24:$S$24,ROW(A6))*$Q$29</f>
        <v>0</v>
      </c>
      <c r="H33" s="47" t="n">
        <f>B33-G33</f>
        <v>0</v>
      </c>
      <c r="I33" s="20" t="n">
        <f>IFERROR(H33/G33,0)</f>
        <v>0</v>
      </c>
      <c r="J33" s="70"/>
      <c r="K33" s="36"/>
      <c r="L33" s="6"/>
      <c r="M33" s="48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</row>
    <row r="34" ht="16.5" customHeight="1">
      <c r="A34" s="18" t="s">
        <v>67</v>
      </c>
      <c r="B34" s="27" t="n">
        <f>H16</f>
        <v>253</v>
      </c>
      <c r="C34" s="29" t="n">
        <f>H24*Q28</f>
        <v>144</v>
      </c>
      <c r="D34" s="41" t="n">
        <f>B34-C34</f>
        <v>109</v>
      </c>
      <c r="E34" s="21" t="n">
        <f>IFERROR(D34/C34,0)</f>
        <v>0.756944444444444</v>
      </c>
      <c r="F34" s="9"/>
      <c r="G34" s="47" t="n">
        <f>INDEX($B$24:$S$24,ROW(A7))*$Q$29</f>
        <v>252</v>
      </c>
      <c r="H34" s="47" t="n">
        <f>B34-G34</f>
        <v>1</v>
      </c>
      <c r="I34" s="20" t="n">
        <f>IFERROR(H34/G34,0)</f>
        <v>0.00396825396825397</v>
      </c>
      <c r="J34" s="70"/>
      <c r="K34" s="36"/>
      <c r="L34" s="6"/>
      <c r="M34" s="48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ht="16.5" customHeight="1">
      <c r="A35" s="18" t="s">
        <v>68</v>
      </c>
      <c r="B35" s="27" t="n">
        <f>I16</f>
        <v>146</v>
      </c>
      <c r="C35" s="25" t="n">
        <f>I24*Q28</f>
        <v>80</v>
      </c>
      <c r="D35" s="41" t="n">
        <f>B35-C35</f>
        <v>66</v>
      </c>
      <c r="E35" s="21" t="n">
        <f>IFERROR(D35/C35,0)</f>
        <v>0.825</v>
      </c>
      <c r="F35" s="9"/>
      <c r="G35" s="47" t="n">
        <f>INDEX($B$24:$S$24,ROW(A8))*$Q$29</f>
        <v>140</v>
      </c>
      <c r="H35" s="47" t="n">
        <f>B35-G35</f>
        <v>6</v>
      </c>
      <c r="I35" s="20" t="n">
        <f>IFERROR(H35/G35,0)</f>
        <v>0.0428571428571429</v>
      </c>
      <c r="J35" s="70"/>
      <c r="K35" s="36"/>
      <c r="L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ht="16.5" customHeight="1">
      <c r="A36" s="18" t="s">
        <v>69</v>
      </c>
      <c r="B36" s="27" t="n">
        <f>J16</f>
        <v>320</v>
      </c>
      <c r="C36" s="29" t="n">
        <f>J24*Q28</f>
        <v>176</v>
      </c>
      <c r="D36" s="41" t="n">
        <f>B36-C36</f>
        <v>144</v>
      </c>
      <c r="E36" s="21" t="n">
        <f>IFERROR(D36/C36,0)</f>
        <v>0.818181818181818</v>
      </c>
      <c r="F36" s="9"/>
      <c r="G36" s="47" t="n">
        <f>INDEX($B$24:$S$24,ROW(A9))*$Q$29</f>
        <v>308</v>
      </c>
      <c r="H36" s="47" t="n">
        <f>B36-G36</f>
        <v>12</v>
      </c>
      <c r="I36" s="20" t="n">
        <f>IFERROR(H36/G36,0)</f>
        <v>0.038961038961039</v>
      </c>
      <c r="J36" s="70"/>
      <c r="K36" s="36"/>
      <c r="L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ht="16.5" customHeight="1">
      <c r="A37" s="18" t="s">
        <v>70</v>
      </c>
      <c r="B37" s="27" t="n">
        <f>K16</f>
        <v>125</v>
      </c>
      <c r="C37" s="29" t="n">
        <f>K24*Q28</f>
        <v>96</v>
      </c>
      <c r="D37" s="41" t="n">
        <f>B37-C37</f>
        <v>29</v>
      </c>
      <c r="E37" s="21" t="n">
        <f>IFERROR(D37/C37,0)</f>
        <v>0.302083333333333</v>
      </c>
      <c r="F37" s="9"/>
      <c r="G37" s="47" t="n">
        <f>INDEX($B$24:$S$24,ROW(A10))*$Q$29</f>
        <v>168</v>
      </c>
      <c r="H37" s="47" t="n">
        <f>B37-G37</f>
        <v>-43</v>
      </c>
      <c r="I37" s="20" t="n">
        <f>IFERROR(H37/G37,0)</f>
        <v>-0.255952380952381</v>
      </c>
      <c r="J37" s="70"/>
      <c r="K37" s="36"/>
      <c r="L37" s="15"/>
      <c r="M37" s="71" t="s">
        <v>125</v>
      </c>
      <c r="N37" s="58"/>
      <c r="O37" s="58" t="s">
        <v>126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ht="16.5" customHeight="1">
      <c r="A38" s="18" t="s">
        <v>71</v>
      </c>
      <c r="B38" s="27" t="n">
        <f>L16</f>
        <v>0</v>
      </c>
      <c r="C38" s="29" t="n">
        <f>L24*Q28</f>
        <v>0</v>
      </c>
      <c r="D38" s="41" t="n">
        <f>B38-C38</f>
        <v>0</v>
      </c>
      <c r="E38" s="21" t="n">
        <f>IFERROR(D38/C38,0)</f>
        <v>0</v>
      </c>
      <c r="F38" s="9"/>
      <c r="G38" s="47" t="n">
        <f>INDEX($B$24:$S$24,ROW(A11))*$Q$29</f>
        <v>0</v>
      </c>
      <c r="H38" s="47" t="n">
        <f>B38-G38</f>
        <v>0</v>
      </c>
      <c r="I38" s="20" t="n">
        <f>IFERROR(H38/G38,0)</f>
        <v>0</v>
      </c>
      <c r="J38" s="70"/>
      <c r="K38" s="36"/>
      <c r="L38" s="6"/>
      <c r="M38" s="58"/>
      <c r="N38" s="58" t="s">
        <v>127</v>
      </c>
      <c r="O38" s="5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ht="16.5" customHeight="1">
      <c r="A39" s="18" t="s">
        <v>72</v>
      </c>
      <c r="B39" s="27" t="n">
        <f>M16</f>
        <v>0</v>
      </c>
      <c r="C39" s="29" t="n">
        <f>M24*Q28</f>
        <v>0</v>
      </c>
      <c r="D39" s="41" t="n">
        <f>B39-C39</f>
        <v>0</v>
      </c>
      <c r="E39" s="21" t="n">
        <f>IFERROR(D39/C39,0)</f>
        <v>0</v>
      </c>
      <c r="F39" s="9"/>
      <c r="G39" s="47" t="n">
        <f>INDEX($B$24:$S$24,ROW(A12))*$Q$29</f>
        <v>0</v>
      </c>
      <c r="H39" s="47" t="n">
        <f>B39-G39</f>
        <v>0</v>
      </c>
      <c r="I39" s="20" t="n">
        <f>IFERROR(H39/G39,0)</f>
        <v>0</v>
      </c>
      <c r="J39" s="70"/>
      <c r="K39" s="36"/>
      <c r="L39" s="6"/>
      <c r="M39" s="58" t="s">
        <v>128</v>
      </c>
      <c r="N39" s="58" t="s">
        <v>129</v>
      </c>
      <c r="O39" s="5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ht="16.5" customHeight="1">
      <c r="A40" s="18" t="s">
        <v>73</v>
      </c>
      <c r="B40" s="27" t="n">
        <f>N16</f>
        <v>481</v>
      </c>
      <c r="C40" s="29" t="n">
        <f>N24*Q28</f>
        <v>264</v>
      </c>
      <c r="D40" s="43" t="n">
        <f>B40-C40</f>
        <v>217</v>
      </c>
      <c r="E40" s="21" t="n">
        <f>IFERROR(D40/C40,0)</f>
        <v>0.821969696969697</v>
      </c>
      <c r="F40" s="9"/>
      <c r="G40" s="47" t="n">
        <f>INDEX($B$24:$S$24,ROW(A13))*$Q$29</f>
        <v>462</v>
      </c>
      <c r="H40" s="28" t="n">
        <f>B40-G40</f>
        <v>19</v>
      </c>
      <c r="I40" s="20" t="n">
        <f>IFERROR(H40/G40,0)</f>
        <v>0.0411255411255411</v>
      </c>
      <c r="J40" s="70"/>
      <c r="K40" s="36"/>
      <c r="L40" s="6"/>
      <c r="M40" s="58"/>
      <c r="N40" s="58" t="s">
        <v>130</v>
      </c>
      <c r="O40" s="5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ht="16.5" customHeight="1">
      <c r="A41" s="18" t="s">
        <v>74</v>
      </c>
      <c r="B41" s="27" t="n">
        <f>O16</f>
        <v>129</v>
      </c>
      <c r="C41" s="29" t="n">
        <f>O24*Q28</f>
        <v>56</v>
      </c>
      <c r="D41" s="41" t="n">
        <f>B41-C41</f>
        <v>73</v>
      </c>
      <c r="E41" s="21" t="n">
        <f>IFERROR(D41/C41,0)</f>
        <v>1.30357142857143</v>
      </c>
      <c r="F41" s="9"/>
      <c r="G41" s="47" t="n">
        <f>INDEX($B$24:$S$24,ROW(A14))*$Q$29</f>
        <v>98</v>
      </c>
      <c r="H41" s="47" t="n">
        <f>B41-G41</f>
        <v>31</v>
      </c>
      <c r="I41" s="20" t="n">
        <f>IFERROR(H41/G41,0)</f>
        <v>0.316326530612245</v>
      </c>
      <c r="J41" s="70"/>
      <c r="K41" s="36"/>
      <c r="L41" s="6"/>
      <c r="M41" s="6" t="s">
        <v>14</v>
      </c>
      <c r="N41" s="6" t="s">
        <v>131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ht="16.5" customHeight="1">
      <c r="A42" s="18" t="s">
        <v>75</v>
      </c>
      <c r="B42" s="27" t="n">
        <f>P16</f>
        <v>15</v>
      </c>
      <c r="C42" s="29" t="n">
        <f>P24*Q28</f>
        <v>128</v>
      </c>
      <c r="D42" s="41" t="n">
        <f>B42-C42</f>
        <v>-113</v>
      </c>
      <c r="E42" s="21" t="n">
        <f>IFERROR(D42/C42,0)</f>
        <v>-0.8828125</v>
      </c>
      <c r="F42" s="9"/>
      <c r="G42" s="47" t="n">
        <f>INDEX($B$24:$S$24,ROW(A15))*$Q$29</f>
        <v>224</v>
      </c>
      <c r="H42" s="47" t="n">
        <f>B42-G42</f>
        <v>-209</v>
      </c>
      <c r="I42" s="20" t="n">
        <f>IFERROR(H42/G42,0)</f>
        <v>-0.933035714285714</v>
      </c>
      <c r="J42" s="70"/>
      <c r="K42" s="3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ht="16.5" customHeight="1">
      <c r="A43" s="18" t="s">
        <v>76</v>
      </c>
      <c r="B43" s="27" t="n">
        <f>Q16</f>
        <v>10</v>
      </c>
      <c r="C43" s="29" t="n">
        <f>Q24*Q28</f>
        <v>48</v>
      </c>
      <c r="D43" s="41" t="n">
        <f>B43-C43</f>
        <v>-38</v>
      </c>
      <c r="E43" s="21" t="n">
        <f>IFERROR(D43/C43,0)</f>
        <v>-0.791666666666667</v>
      </c>
      <c r="F43" s="9"/>
      <c r="G43" s="47" t="n">
        <f>INDEX($B$24:$S$24,ROW(A16))*$Q$29</f>
        <v>84</v>
      </c>
      <c r="H43" s="47" t="n">
        <f>B43-G43</f>
        <v>-74</v>
      </c>
      <c r="I43" s="20" t="n">
        <f>IFERROR(H43/G43,0)</f>
        <v>-0.880952380952381</v>
      </c>
      <c r="J43" s="70"/>
      <c r="K43" s="3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ht="16.5" customHeight="1">
      <c r="A44" s="18" t="s">
        <v>77</v>
      </c>
      <c r="B44" s="27" t="n">
        <f>R16</f>
        <v>18</v>
      </c>
      <c r="C44" s="29" t="n">
        <f>R24*Q28</f>
        <v>48</v>
      </c>
      <c r="D44" s="41" t="n">
        <f>B44-C44</f>
        <v>-30</v>
      </c>
      <c r="E44" s="21" t="n">
        <f>IFERROR(D44/C44,0)</f>
        <v>-0.625</v>
      </c>
      <c r="F44" s="9"/>
      <c r="G44" s="47" t="n">
        <f>INDEX($B$24:$S$24,ROW(A17))*$Q$29</f>
        <v>84</v>
      </c>
      <c r="H44" s="47" t="n">
        <f>B44-G44</f>
        <v>-66</v>
      </c>
      <c r="I44" s="20" t="n">
        <f>IFERROR(H44/G44,0)</f>
        <v>-0.785714285714286</v>
      </c>
      <c r="J44" s="70"/>
      <c r="K44" s="3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ht="16.5" customHeight="1">
      <c r="A45" s="15"/>
      <c r="B45" s="30"/>
      <c r="C45" s="30"/>
      <c r="D45" s="30"/>
      <c r="E45" s="15"/>
      <c r="F45" s="6"/>
      <c r="G45" s="6"/>
      <c r="H45" s="6"/>
      <c r="I45" s="30"/>
      <c r="J45" s="6"/>
      <c r="K45" s="6"/>
      <c r="L45" s="6"/>
      <c r="M45" s="6" t="n">
        <f>INDEX($B$24:$S$24,ROW(A11))</f>
        <v>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ht="39" customHeight="1">
      <c r="A46" s="89" t="s">
        <v>132</v>
      </c>
      <c r="B46" s="6"/>
      <c r="C46" s="6"/>
      <c r="D46" s="6"/>
      <c r="E46" s="6"/>
      <c r="F46" s="6"/>
      <c r="G46" s="6"/>
      <c r="H46" s="6"/>
      <c r="I46" s="30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ht="16.5" customHeight="1">
      <c r="A47" s="15"/>
      <c r="B47" s="30"/>
      <c r="C47" s="30"/>
      <c r="D47" s="30"/>
      <c r="E47" s="15"/>
      <c r="F47" s="6"/>
      <c r="G47" s="6"/>
      <c r="H47" s="6"/>
      <c r="I47" s="30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ht="16.5" customHeight="1">
      <c r="A48" s="6"/>
      <c r="B48" s="6"/>
      <c r="C48" s="6"/>
      <c r="D48" s="6"/>
      <c r="E48" s="6"/>
      <c r="F48" s="6"/>
      <c r="G48" s="6"/>
      <c r="H48" s="6"/>
      <c r="I48" s="30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ht="16.5" customHeight="1">
      <c r="A49" s="32"/>
      <c r="B49" s="6"/>
      <c r="C49" s="6"/>
      <c r="D49" s="6"/>
      <c r="E49" s="6"/>
      <c r="F49" s="33"/>
      <c r="G49" s="33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ht="16.5" customHeight="1">
      <c r="A50" s="14"/>
      <c r="B50" s="34"/>
      <c r="C50" s="14"/>
      <c r="D50" s="14"/>
      <c r="E50" s="14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ht="16.5" customHeight="1">
      <c r="A51" s="15"/>
      <c r="B51" s="30"/>
      <c r="C51" s="30"/>
      <c r="D51" s="30"/>
      <c r="E51" s="1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ht="16.5" customHeight="1">
      <c r="A52" s="15"/>
      <c r="B52" s="30"/>
      <c r="C52" s="30"/>
      <c r="D52" s="30"/>
      <c r="E52" s="1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ht="16.5" customHeight="1">
      <c r="A53" s="15"/>
      <c r="B53" s="30"/>
      <c r="C53" s="30"/>
      <c r="D53" s="30"/>
      <c r="E53" s="1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ht="16.5" customHeight="1">
      <c r="A54" s="15"/>
      <c r="B54" s="30"/>
      <c r="C54" s="30"/>
      <c r="D54" s="30"/>
      <c r="E54" s="1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ht="16.5" customHeight="1">
      <c r="A55" s="15"/>
      <c r="B55" s="30"/>
      <c r="C55" s="30"/>
      <c r="D55" s="30"/>
      <c r="E55" s="1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ht="16.5" customHeight="1">
      <c r="A56" s="15"/>
      <c r="B56" s="30"/>
      <c r="C56" s="30"/>
      <c r="D56" s="30"/>
      <c r="E56" s="1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ht="16.5" customHeight="1">
      <c r="A58" s="3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 ht="16.5" customHeight="1">
      <c r="A59" s="14"/>
      <c r="B59" s="34"/>
      <c r="C59" s="14"/>
      <c r="D59" s="14"/>
      <c r="E59" s="14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ht="16.5" customHeight="1">
      <c r="A60" s="15"/>
      <c r="B60" s="30"/>
      <c r="C60" s="30"/>
      <c r="D60" s="30"/>
      <c r="E60" s="1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ht="16.5" customHeight="1">
      <c r="A61" s="15"/>
      <c r="B61" s="30"/>
      <c r="C61" s="30"/>
      <c r="D61" s="30"/>
      <c r="E61" s="1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</row>
    <row r="62" ht="16.5" customHeight="1">
      <c r="A62" s="15"/>
      <c r="B62" s="30"/>
      <c r="C62" s="30"/>
      <c r="D62" s="30"/>
      <c r="E62" s="1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ht="16.5" customHeight="1">
      <c r="A63" s="15"/>
      <c r="B63" s="30"/>
      <c r="C63" s="30"/>
      <c r="D63" s="30"/>
      <c r="E63" s="1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</row>
    <row r="64" ht="16.5" customHeight="1">
      <c r="A64" s="15"/>
      <c r="B64" s="30"/>
      <c r="C64" s="30"/>
      <c r="D64" s="30"/>
      <c r="E64" s="1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65" ht="16.5" customHeight="1">
      <c r="A65" s="15"/>
      <c r="B65" s="30"/>
      <c r="C65" s="30"/>
      <c r="D65" s="30"/>
      <c r="E65" s="1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ht="16.5" customHeight="1">
      <c r="A66" s="15"/>
      <c r="B66" s="30"/>
      <c r="C66" s="30"/>
      <c r="D66" s="30"/>
      <c r="E66" s="1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</row>
    <row r="67" ht="16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ht="16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ht="16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</row>
    <row r="70" ht="16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ht="16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</row>
    <row r="72" ht="16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</row>
    <row r="73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</row>
    <row r="75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</row>
    <row r="76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</row>
  </sheetData>
  <mergeCells count="9">
    <mergeCell ref="A20:S20"/>
    <mergeCell ref="A46:F46"/>
    <mergeCell ref="T20:AM20"/>
    <mergeCell ref="A19:S19"/>
    <mergeCell ref="A26:F26"/>
    <mergeCell ref="M26:R26"/>
    <mergeCell ref="M31:R34"/>
    <mergeCell ref="A1:S1"/>
    <mergeCell ref="A9:S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3.123046875" customWidth="1"/>
    <col min="2" max="2" width="27.9990234375" customWidth="1"/>
    <col min="3" max="3" width="13.875" customWidth="1"/>
    <col min="4" max="4" width="24.9990234375" customWidth="1"/>
    <col min="5" max="5" width="12.6240234375" customWidth="1"/>
    <col min="6" max="6" width="15.2490234375" customWidth="1"/>
  </cols>
  <sheetData>
    <row r="1" ht="16.5" customHeight="1">
      <c r="A1" s="55" t="s">
        <v>133</v>
      </c>
      <c r="B1" s="56" t="s">
        <v>134</v>
      </c>
      <c r="C1" s="56" t="s">
        <v>135</v>
      </c>
      <c r="D1" s="54"/>
      <c r="E1" s="56" t="s">
        <v>136</v>
      </c>
      <c r="F1" s="54"/>
      <c r="G1" s="14"/>
      <c r="H1" s="74"/>
    </row>
    <row r="2" ht="16.5" customHeight="1">
      <c r="A2" s="54"/>
      <c r="B2" s="54"/>
      <c r="C2" s="57" t="s">
        <v>137</v>
      </c>
      <c r="D2" s="57" t="s">
        <v>138</v>
      </c>
      <c r="E2" s="57" t="s">
        <v>137</v>
      </c>
      <c r="F2" s="57" t="s">
        <v>138</v>
      </c>
      <c r="G2" s="15"/>
      <c r="H2" s="74" t="s">
        <v>139</v>
      </c>
    </row>
    <row r="3" ht="16.5" customHeight="1">
      <c r="A3" s="59" t="s">
        <v>89</v>
      </c>
      <c r="B3" s="60" t="s">
        <v>63</v>
      </c>
      <c r="C3" s="67" t="n">
        <v>227.5</v>
      </c>
      <c r="D3" s="67" t="n">
        <v>0</v>
      </c>
      <c r="E3" s="67" t="n">
        <v>0</v>
      </c>
      <c r="F3" s="67" t="n">
        <v>0</v>
      </c>
      <c r="G3" s="15"/>
      <c r="H3" s="74" t="s">
        <v>89</v>
      </c>
    </row>
    <row r="4" ht="16.5" customHeight="1">
      <c r="A4" s="54"/>
      <c r="B4" s="60" t="s">
        <v>69</v>
      </c>
      <c r="C4" s="67" t="n">
        <v>3</v>
      </c>
      <c r="D4" s="67" t="n">
        <v>0</v>
      </c>
      <c r="E4" s="67" t="n">
        <v>222</v>
      </c>
      <c r="F4" s="67" t="n">
        <v>0</v>
      </c>
      <c r="G4" s="15"/>
      <c r="H4" s="74" t="s">
        <v>89</v>
      </c>
    </row>
    <row r="5" ht="16.5" customHeight="1">
      <c r="A5" s="54"/>
      <c r="B5" s="60" t="s">
        <v>67</v>
      </c>
      <c r="C5" s="67" t="n">
        <v>0</v>
      </c>
      <c r="D5" s="67" t="n">
        <v>0</v>
      </c>
      <c r="E5" s="67" t="n">
        <v>173</v>
      </c>
      <c r="F5" s="67" t="n">
        <v>0</v>
      </c>
      <c r="G5" s="15"/>
      <c r="H5" s="74" t="s">
        <v>89</v>
      </c>
    </row>
    <row r="6" ht="16.5" customHeight="1">
      <c r="A6" s="54"/>
      <c r="B6" s="60" t="s">
        <v>140</v>
      </c>
      <c r="C6" s="67" t="n">
        <v>148.5</v>
      </c>
      <c r="D6" s="67" t="n">
        <v>0</v>
      </c>
      <c r="E6" s="67" t="n">
        <v>0</v>
      </c>
      <c r="F6" s="67" t="n">
        <v>0</v>
      </c>
      <c r="G6" s="15"/>
      <c r="H6" s="74" t="s">
        <v>89</v>
      </c>
    </row>
    <row r="7" ht="16.5" customHeight="1">
      <c r="A7" s="54"/>
      <c r="B7" s="60" t="s">
        <v>61</v>
      </c>
      <c r="C7" s="67" t="n">
        <v>112.5</v>
      </c>
      <c r="D7" s="67" t="n">
        <v>66</v>
      </c>
      <c r="E7" s="67" t="n">
        <v>0</v>
      </c>
      <c r="F7" s="67" t="n">
        <v>0</v>
      </c>
      <c r="G7" s="15"/>
      <c r="H7" s="74" t="s">
        <v>89</v>
      </c>
    </row>
    <row r="8" ht="16.5" customHeight="1">
      <c r="A8" s="54"/>
      <c r="B8" s="60" t="s">
        <v>70</v>
      </c>
      <c r="C8" s="67" t="n">
        <v>0</v>
      </c>
      <c r="D8" s="67" t="n">
        <v>0</v>
      </c>
      <c r="E8" s="67" t="n">
        <v>83</v>
      </c>
      <c r="F8" s="67" t="n">
        <v>0</v>
      </c>
      <c r="G8" s="15"/>
      <c r="H8" s="74" t="s">
        <v>89</v>
      </c>
    </row>
    <row r="9" ht="16.5" customHeight="1">
      <c r="A9" s="54"/>
      <c r="B9" s="60" t="s">
        <v>74</v>
      </c>
      <c r="C9" s="67" t="n">
        <v>76</v>
      </c>
      <c r="D9" s="67" t="n">
        <v>0</v>
      </c>
      <c r="E9" s="67" t="n">
        <v>0</v>
      </c>
      <c r="F9" s="67" t="n">
        <v>0</v>
      </c>
      <c r="G9" s="15"/>
      <c r="H9" s="74" t="s">
        <v>89</v>
      </c>
    </row>
    <row r="10" ht="16.5" customHeight="1">
      <c r="A10" s="54"/>
      <c r="B10" s="60" t="s">
        <v>68</v>
      </c>
      <c r="C10" s="67" t="n">
        <v>0</v>
      </c>
      <c r="D10" s="67" t="n">
        <v>0</v>
      </c>
      <c r="E10" s="67" t="n">
        <v>74</v>
      </c>
      <c r="F10" s="67" t="n">
        <v>0</v>
      </c>
      <c r="G10" s="15"/>
      <c r="H10" s="74" t="s">
        <v>89</v>
      </c>
    </row>
    <row r="11" ht="16.5" customHeight="1">
      <c r="A11" s="54"/>
      <c r="B11" s="60" t="s">
        <v>64</v>
      </c>
      <c r="C11" s="67" t="n">
        <v>70</v>
      </c>
      <c r="D11" s="67" t="n">
        <v>0</v>
      </c>
      <c r="E11" s="67" t="n">
        <v>0</v>
      </c>
      <c r="F11" s="67" t="n">
        <v>0</v>
      </c>
      <c r="G11" s="15"/>
      <c r="H11" s="74" t="s">
        <v>89</v>
      </c>
    </row>
    <row r="12" ht="16.5" customHeight="1">
      <c r="A12" s="54"/>
      <c r="B12" s="60" t="s">
        <v>62</v>
      </c>
      <c r="C12" s="67" t="n">
        <v>49</v>
      </c>
      <c r="D12" s="67" t="n">
        <v>0</v>
      </c>
      <c r="E12" s="67" t="n">
        <v>0</v>
      </c>
      <c r="F12" s="67" t="n">
        <v>0</v>
      </c>
      <c r="G12" s="15"/>
      <c r="H12" s="74" t="s">
        <v>89</v>
      </c>
    </row>
    <row r="13" ht="16.5" customHeight="1">
      <c r="A13" s="54"/>
      <c r="B13" s="60" t="s">
        <v>73</v>
      </c>
      <c r="C13" s="67" t="n">
        <v>27</v>
      </c>
      <c r="D13" s="67" t="n">
        <v>266</v>
      </c>
      <c r="E13" s="67" t="n">
        <v>0</v>
      </c>
      <c r="F13" s="67" t="n">
        <v>0</v>
      </c>
      <c r="G13" s="15"/>
      <c r="H13" s="74" t="s">
        <v>89</v>
      </c>
    </row>
    <row r="14" ht="16.5" customHeight="1">
      <c r="A14" s="54"/>
      <c r="B14" s="60" t="s">
        <v>77</v>
      </c>
      <c r="C14" s="67" t="n">
        <v>18</v>
      </c>
      <c r="D14" s="67" t="n">
        <v>0</v>
      </c>
      <c r="E14" s="67" t="n">
        <v>0</v>
      </c>
      <c r="F14" s="67" t="n">
        <v>0</v>
      </c>
      <c r="G14" s="15"/>
      <c r="H14" s="74" t="s">
        <v>89</v>
      </c>
    </row>
    <row r="15" ht="16.5" customHeight="1">
      <c r="A15" s="54"/>
      <c r="B15" s="60" t="s">
        <v>75</v>
      </c>
      <c r="C15" s="67" t="n">
        <v>15</v>
      </c>
      <c r="D15" s="67" t="n">
        <v>0</v>
      </c>
      <c r="E15" s="67" t="n">
        <v>0</v>
      </c>
      <c r="F15" s="67" t="n">
        <v>0</v>
      </c>
      <c r="G15" s="15"/>
      <c r="H15" s="74" t="s">
        <v>89</v>
      </c>
    </row>
    <row r="16" ht="16.5" customHeight="1">
      <c r="A16" s="54"/>
      <c r="B16" s="60" t="s">
        <v>76</v>
      </c>
      <c r="C16" s="67" t="n">
        <v>10</v>
      </c>
      <c r="D16" s="67" t="n">
        <v>0</v>
      </c>
      <c r="E16" s="67" t="n">
        <v>0</v>
      </c>
      <c r="F16" s="67" t="n">
        <v>0</v>
      </c>
      <c r="G16" s="15"/>
      <c r="H16" s="74" t="s">
        <v>89</v>
      </c>
    </row>
    <row r="17" ht="16.5" customHeight="1">
      <c r="A17" s="59" t="s">
        <v>79</v>
      </c>
      <c r="B17" s="60" t="s">
        <v>63</v>
      </c>
      <c r="C17" s="67" t="n">
        <v>137.6</v>
      </c>
      <c r="D17" s="67" t="n">
        <v>0</v>
      </c>
      <c r="E17" s="67" t="n">
        <v>0</v>
      </c>
      <c r="F17" s="67" t="n">
        <v>0</v>
      </c>
      <c r="G17" s="15"/>
      <c r="H17" s="74" t="s">
        <v>79</v>
      </c>
    </row>
    <row r="18" ht="16.5" customHeight="1">
      <c r="A18" s="54"/>
      <c r="B18" s="60" t="s">
        <v>140</v>
      </c>
      <c r="C18" s="67" t="n">
        <v>56.5</v>
      </c>
      <c r="D18" s="67" t="n">
        <v>0</v>
      </c>
      <c r="E18" s="67" t="n">
        <v>0</v>
      </c>
      <c r="F18" s="67" t="n">
        <v>0</v>
      </c>
      <c r="G18" s="15"/>
      <c r="H18" s="74" t="s">
        <v>79</v>
      </c>
    </row>
    <row r="19" ht="16.5" customHeight="1">
      <c r="A19" s="54"/>
      <c r="B19" s="60" t="s">
        <v>61</v>
      </c>
      <c r="C19" s="67" t="n">
        <v>56</v>
      </c>
      <c r="D19" s="67" t="n">
        <v>42</v>
      </c>
      <c r="E19" s="67" t="n">
        <v>0</v>
      </c>
      <c r="F19" s="67" t="n">
        <v>0</v>
      </c>
      <c r="G19" s="15"/>
      <c r="H19" s="74" t="s">
        <v>79</v>
      </c>
    </row>
    <row r="20" ht="16.5" customHeight="1">
      <c r="A20" s="54"/>
      <c r="B20" s="60" t="s">
        <v>74</v>
      </c>
      <c r="C20" s="67" t="n">
        <v>40</v>
      </c>
      <c r="D20" s="67" t="n">
        <v>0</v>
      </c>
      <c r="E20" s="67" t="n">
        <v>0</v>
      </c>
      <c r="F20" s="67" t="n">
        <v>0</v>
      </c>
      <c r="G20" s="15"/>
      <c r="H20" s="74" t="s">
        <v>79</v>
      </c>
    </row>
    <row r="21" ht="16.5" customHeight="1">
      <c r="A21" s="54"/>
      <c r="B21" s="60" t="s">
        <v>67</v>
      </c>
      <c r="C21" s="67" t="n">
        <v>0</v>
      </c>
      <c r="D21" s="67" t="n">
        <v>0</v>
      </c>
      <c r="E21" s="67" t="n">
        <v>39</v>
      </c>
      <c r="F21" s="67" t="n">
        <v>0</v>
      </c>
      <c r="G21" s="15"/>
      <c r="H21" s="74" t="s">
        <v>79</v>
      </c>
    </row>
    <row r="22" ht="16.5" customHeight="1">
      <c r="A22" s="54"/>
      <c r="B22" s="60" t="s">
        <v>70</v>
      </c>
      <c r="C22" s="67" t="n">
        <v>0</v>
      </c>
      <c r="D22" s="67" t="n">
        <v>0</v>
      </c>
      <c r="E22" s="67" t="n">
        <v>37</v>
      </c>
      <c r="F22" s="67" t="n">
        <v>0</v>
      </c>
      <c r="G22" s="15"/>
      <c r="H22" s="74" t="s">
        <v>79</v>
      </c>
    </row>
    <row r="23" ht="16.5" customHeight="1">
      <c r="A23" s="54"/>
      <c r="B23" s="60" t="s">
        <v>69</v>
      </c>
      <c r="C23" s="67" t="n">
        <v>0</v>
      </c>
      <c r="D23" s="67" t="n">
        <v>0</v>
      </c>
      <c r="E23" s="67" t="n">
        <v>33</v>
      </c>
      <c r="F23" s="67" t="n">
        <v>0</v>
      </c>
      <c r="G23" s="15"/>
      <c r="H23" s="74" t="s">
        <v>79</v>
      </c>
    </row>
    <row r="24" ht="16.5" customHeight="1">
      <c r="A24" s="54"/>
      <c r="B24" s="60" t="s">
        <v>64</v>
      </c>
      <c r="C24" s="67" t="n">
        <v>19</v>
      </c>
      <c r="D24" s="67" t="n">
        <v>0</v>
      </c>
      <c r="E24" s="67" t="n">
        <v>0</v>
      </c>
      <c r="F24" s="67" t="n">
        <v>0</v>
      </c>
      <c r="G24" s="15"/>
      <c r="H24" s="74" t="s">
        <v>79</v>
      </c>
    </row>
    <row r="25" ht="16.5" customHeight="1">
      <c r="A25" s="54"/>
      <c r="B25" s="60" t="s">
        <v>73</v>
      </c>
      <c r="C25" s="67" t="n">
        <v>6</v>
      </c>
      <c r="D25" s="67" t="n">
        <v>125</v>
      </c>
      <c r="E25" s="67" t="n">
        <v>0</v>
      </c>
      <c r="F25" s="67" t="n">
        <v>0</v>
      </c>
      <c r="G25" s="15"/>
      <c r="H25" s="74" t="s">
        <v>79</v>
      </c>
    </row>
    <row r="26" ht="16.5" customHeight="1">
      <c r="A26" s="59" t="s">
        <v>141</v>
      </c>
      <c r="B26" s="60" t="s">
        <v>68</v>
      </c>
      <c r="C26" s="67" t="n">
        <v>0</v>
      </c>
      <c r="D26" s="67" t="n">
        <v>0</v>
      </c>
      <c r="E26" s="67" t="n">
        <v>72</v>
      </c>
      <c r="F26" s="67" t="n">
        <v>33</v>
      </c>
      <c r="G26" s="15"/>
      <c r="H26" s="74" t="s">
        <v>141</v>
      </c>
    </row>
    <row r="27" ht="16.5" customHeight="1">
      <c r="A27" s="54"/>
      <c r="B27" s="60" t="s">
        <v>63</v>
      </c>
      <c r="C27" s="67" t="n">
        <v>9</v>
      </c>
      <c r="D27" s="67" t="n">
        <v>0</v>
      </c>
      <c r="E27" s="67" t="n">
        <v>0</v>
      </c>
      <c r="F27" s="67" t="n">
        <v>0</v>
      </c>
      <c r="G27" s="15"/>
      <c r="H27" s="74" t="s">
        <v>141</v>
      </c>
    </row>
    <row r="28" ht="16.5" customHeight="1">
      <c r="A28" s="54"/>
      <c r="B28" s="60" t="s">
        <v>69</v>
      </c>
      <c r="C28" s="67" t="n">
        <v>0</v>
      </c>
      <c r="D28" s="67" t="n">
        <v>0</v>
      </c>
      <c r="E28" s="67" t="n">
        <v>5</v>
      </c>
      <c r="F28" s="67" t="n">
        <v>0</v>
      </c>
      <c r="G28" s="15"/>
      <c r="H28" s="74" t="s">
        <v>141</v>
      </c>
    </row>
    <row r="29" ht="16.5" customHeight="1">
      <c r="A29" s="54"/>
      <c r="B29" s="60" t="s">
        <v>64</v>
      </c>
      <c r="C29" s="67" t="n">
        <v>3</v>
      </c>
      <c r="D29" s="67" t="n">
        <v>0</v>
      </c>
      <c r="E29" s="67" t="n">
        <v>0</v>
      </c>
      <c r="F29" s="67" t="n">
        <v>0</v>
      </c>
      <c r="G29" s="15"/>
      <c r="H29" s="74" t="s">
        <v>141</v>
      </c>
    </row>
    <row r="30" ht="16.5" customHeight="1">
      <c r="A30" s="54"/>
      <c r="B30" s="60" t="s">
        <v>140</v>
      </c>
      <c r="C30" s="67" t="n">
        <v>2.5</v>
      </c>
      <c r="D30" s="67" t="n">
        <v>0</v>
      </c>
      <c r="E30" s="67" t="n">
        <v>0</v>
      </c>
      <c r="F30" s="67" t="n">
        <v>0</v>
      </c>
      <c r="G30" s="15"/>
      <c r="H30" s="74" t="s">
        <v>141</v>
      </c>
    </row>
    <row r="31" ht="16.5" customHeight="1">
      <c r="A31" s="54"/>
      <c r="B31" s="60" t="s">
        <v>74</v>
      </c>
      <c r="C31" s="67" t="n">
        <v>1.5</v>
      </c>
      <c r="D31" s="67" t="n">
        <v>0</v>
      </c>
      <c r="E31" s="67" t="n">
        <v>0</v>
      </c>
      <c r="F31" s="67" t="n">
        <v>0</v>
      </c>
      <c r="G31" s="15"/>
      <c r="H31" s="74" t="s">
        <v>141</v>
      </c>
    </row>
    <row r="32" ht="16.5" customHeight="1">
      <c r="A32" s="54"/>
      <c r="B32" s="60" t="s">
        <v>67</v>
      </c>
      <c r="C32" s="67" t="n">
        <v>0</v>
      </c>
      <c r="D32" s="67" t="n">
        <v>0</v>
      </c>
      <c r="E32" s="67" t="n">
        <v>1</v>
      </c>
      <c r="F32" s="67" t="n">
        <v>0</v>
      </c>
      <c r="G32" s="15"/>
      <c r="H32" s="74" t="s">
        <v>141</v>
      </c>
    </row>
    <row r="33" ht="16.5" customHeight="1">
      <c r="A33" s="54"/>
      <c r="B33" s="60" t="s">
        <v>73</v>
      </c>
      <c r="C33" s="67" t="n">
        <v>0</v>
      </c>
      <c r="D33" s="67" t="n">
        <v>2</v>
      </c>
      <c r="E33" s="67" t="n">
        <v>0</v>
      </c>
      <c r="F33" s="67" t="n">
        <v>0</v>
      </c>
      <c r="G33" s="15"/>
      <c r="H33" s="74" t="s">
        <v>141</v>
      </c>
    </row>
    <row r="34" ht="16.5" customHeight="1">
      <c r="A34" s="59" t="s">
        <v>80</v>
      </c>
      <c r="B34" s="60" t="s">
        <v>61</v>
      </c>
      <c r="C34" s="67" t="n">
        <v>47</v>
      </c>
      <c r="D34" s="67" t="n">
        <v>0</v>
      </c>
      <c r="E34" s="67" t="n">
        <v>0</v>
      </c>
      <c r="F34" s="67" t="n">
        <v>0</v>
      </c>
      <c r="G34" s="15"/>
      <c r="H34" s="74" t="s">
        <v>80</v>
      </c>
    </row>
    <row r="35" ht="16.5" customHeight="1">
      <c r="A35" s="54"/>
      <c r="B35" s="60" t="s">
        <v>63</v>
      </c>
      <c r="C35" s="67" t="n">
        <v>46</v>
      </c>
      <c r="D35" s="67" t="n">
        <v>0</v>
      </c>
      <c r="E35" s="67" t="n">
        <v>0</v>
      </c>
      <c r="F35" s="67" t="n">
        <v>0</v>
      </c>
      <c r="G35" s="15"/>
      <c r="H35" s="74" t="s">
        <v>80</v>
      </c>
    </row>
    <row r="36" ht="16.5" customHeight="1">
      <c r="A36" s="54"/>
      <c r="B36" s="60" t="s">
        <v>69</v>
      </c>
      <c r="C36" s="67" t="n">
        <v>0</v>
      </c>
      <c r="D36" s="67" t="n">
        <v>0</v>
      </c>
      <c r="E36" s="67" t="n">
        <v>16</v>
      </c>
      <c r="F36" s="67" t="n">
        <v>0</v>
      </c>
      <c r="G36" s="15"/>
      <c r="H36" s="74" t="s">
        <v>80</v>
      </c>
    </row>
    <row r="37" ht="16.5" customHeight="1">
      <c r="A37" s="54"/>
      <c r="B37" s="60" t="s">
        <v>140</v>
      </c>
      <c r="C37" s="67" t="n">
        <v>15</v>
      </c>
      <c r="D37" s="67" t="n">
        <v>0</v>
      </c>
      <c r="E37" s="67" t="n">
        <v>0</v>
      </c>
      <c r="F37" s="67" t="n">
        <v>0</v>
      </c>
      <c r="G37" s="15"/>
      <c r="H37" s="74" t="s">
        <v>80</v>
      </c>
    </row>
    <row r="38" ht="16.5" customHeight="1">
      <c r="A38" s="54"/>
      <c r="B38" s="60" t="s">
        <v>73</v>
      </c>
      <c r="C38" s="67" t="n">
        <v>6</v>
      </c>
      <c r="D38" s="67" t="n">
        <v>66.5</v>
      </c>
      <c r="E38" s="67" t="n">
        <v>0</v>
      </c>
      <c r="F38" s="67" t="n">
        <v>0</v>
      </c>
      <c r="G38" s="15"/>
      <c r="H38" s="74" t="s">
        <v>80</v>
      </c>
    </row>
    <row r="39" ht="16.5" customHeight="1">
      <c r="A39" s="54"/>
      <c r="B39" s="60" t="s">
        <v>74</v>
      </c>
      <c r="C39" s="67" t="n">
        <v>5</v>
      </c>
      <c r="D39" s="67" t="n">
        <v>0</v>
      </c>
      <c r="E39" s="67" t="n">
        <v>0</v>
      </c>
      <c r="F39" s="67" t="n">
        <v>0</v>
      </c>
      <c r="G39" s="15"/>
      <c r="H39" s="74" t="s">
        <v>80</v>
      </c>
    </row>
    <row r="40" ht="16.5" customHeight="1">
      <c r="A40" s="54"/>
      <c r="B40" s="60" t="s">
        <v>70</v>
      </c>
      <c r="C40" s="67" t="n">
        <v>0</v>
      </c>
      <c r="D40" s="67" t="n">
        <v>0</v>
      </c>
      <c r="E40" s="67" t="n">
        <v>5</v>
      </c>
      <c r="F40" s="67" t="n">
        <v>0</v>
      </c>
      <c r="G40" s="15"/>
      <c r="H40" s="74" t="s">
        <v>80</v>
      </c>
    </row>
    <row r="41" ht="16.5" customHeight="1">
      <c r="A41" s="54"/>
      <c r="B41" s="60" t="s">
        <v>67</v>
      </c>
      <c r="C41" s="67" t="n">
        <v>0</v>
      </c>
      <c r="D41" s="67" t="n">
        <v>0</v>
      </c>
      <c r="E41" s="67" t="n">
        <v>2</v>
      </c>
      <c r="F41" s="67" t="n">
        <v>0</v>
      </c>
      <c r="G41" s="15"/>
      <c r="H41" s="74" t="s">
        <v>80</v>
      </c>
    </row>
    <row r="42" ht="16.5" customHeight="1">
      <c r="A42" s="54"/>
      <c r="B42" s="60" t="s">
        <v>64</v>
      </c>
      <c r="C42" s="67" t="n">
        <v>1</v>
      </c>
      <c r="D42" s="67" t="n">
        <v>0</v>
      </c>
      <c r="E42" s="67" t="n">
        <v>0</v>
      </c>
      <c r="F42" s="67" t="n">
        <v>0</v>
      </c>
      <c r="G42" s="15"/>
      <c r="H42" s="74" t="s">
        <v>80</v>
      </c>
    </row>
    <row r="43" ht="16.5" customHeight="1">
      <c r="A43" s="59" t="s">
        <v>87</v>
      </c>
      <c r="B43" s="60" t="s">
        <v>69</v>
      </c>
      <c r="C43" s="67" t="n">
        <v>0</v>
      </c>
      <c r="D43" s="67" t="n">
        <v>0</v>
      </c>
      <c r="E43" s="67" t="n">
        <v>30</v>
      </c>
      <c r="F43" s="67" t="n">
        <v>0</v>
      </c>
      <c r="G43" s="15"/>
      <c r="H43" s="74" t="s">
        <v>87</v>
      </c>
    </row>
    <row r="44" ht="16.5" customHeight="1">
      <c r="A44" s="54"/>
      <c r="B44" s="60" t="s">
        <v>67</v>
      </c>
      <c r="C44" s="67" t="n">
        <v>0</v>
      </c>
      <c r="D44" s="67" t="n">
        <v>0</v>
      </c>
      <c r="E44" s="67" t="n">
        <v>28</v>
      </c>
      <c r="F44" s="67" t="n">
        <v>0</v>
      </c>
      <c r="G44" s="15"/>
      <c r="H44" s="74" t="s">
        <v>87</v>
      </c>
    </row>
    <row r="45" ht="16.5" customHeight="1">
      <c r="A45" s="54"/>
      <c r="B45" s="60" t="s">
        <v>74</v>
      </c>
      <c r="C45" s="67" t="n">
        <v>1</v>
      </c>
      <c r="D45" s="67" t="n">
        <v>0</v>
      </c>
      <c r="E45" s="67" t="n">
        <v>0</v>
      </c>
      <c r="F45" s="67" t="n">
        <v>0</v>
      </c>
      <c r="G45" s="15"/>
      <c r="H45" s="74" t="s">
        <v>87</v>
      </c>
    </row>
    <row r="46" ht="16.5" customHeight="1">
      <c r="A46" s="59" t="s">
        <v>81</v>
      </c>
      <c r="B46" s="60" t="s">
        <v>61</v>
      </c>
      <c r="C46" s="67" t="n">
        <v>9</v>
      </c>
      <c r="D46" s="67" t="n">
        <v>0</v>
      </c>
      <c r="E46" s="67" t="n">
        <v>0</v>
      </c>
      <c r="F46" s="67" t="n">
        <v>0</v>
      </c>
      <c r="G46" s="15"/>
      <c r="H46" s="74" t="s">
        <v>81</v>
      </c>
    </row>
    <row r="47" ht="16.5" customHeight="1">
      <c r="A47" s="54"/>
      <c r="B47" s="60" t="s">
        <v>67</v>
      </c>
      <c r="C47" s="67" t="n">
        <v>0</v>
      </c>
      <c r="D47" s="67" t="n">
        <v>0</v>
      </c>
      <c r="E47" s="67" t="n">
        <v>9</v>
      </c>
      <c r="F47" s="67" t="n">
        <v>0</v>
      </c>
      <c r="G47" s="15"/>
      <c r="H47" s="74" t="s">
        <v>81</v>
      </c>
    </row>
    <row r="48" ht="16.5" customHeight="1">
      <c r="A48" s="54"/>
      <c r="B48" s="60" t="s">
        <v>73</v>
      </c>
      <c r="C48" s="67" t="n">
        <v>6</v>
      </c>
      <c r="D48" s="67" t="n">
        <v>15.5</v>
      </c>
      <c r="E48" s="67" t="n">
        <v>0</v>
      </c>
      <c r="F48" s="67" t="n">
        <v>0</v>
      </c>
      <c r="G48" s="15"/>
      <c r="H48" s="74" t="s">
        <v>81</v>
      </c>
    </row>
    <row r="49" ht="16.5" customHeight="1">
      <c r="A49" s="54"/>
      <c r="B49" s="60" t="s">
        <v>74</v>
      </c>
      <c r="C49" s="67" t="n">
        <v>5.5</v>
      </c>
      <c r="D49" s="67" t="n">
        <v>0</v>
      </c>
      <c r="E49" s="67" t="n">
        <v>0</v>
      </c>
      <c r="F49" s="67" t="n">
        <v>0</v>
      </c>
      <c r="G49" s="15"/>
      <c r="H49" s="74" t="s">
        <v>81</v>
      </c>
    </row>
    <row r="50" ht="16.5" customHeight="1">
      <c r="A50" s="54"/>
      <c r="B50" s="60" t="s">
        <v>69</v>
      </c>
      <c r="C50" s="67" t="n">
        <v>0</v>
      </c>
      <c r="D50" s="67" t="n">
        <v>0</v>
      </c>
      <c r="E50" s="67" t="n">
        <v>5</v>
      </c>
      <c r="F50" s="67" t="n">
        <v>0</v>
      </c>
      <c r="G50" s="15"/>
      <c r="H50" s="74" t="s">
        <v>81</v>
      </c>
    </row>
    <row r="51" ht="16.5" customHeight="1">
      <c r="A51" s="54"/>
      <c r="B51" s="60" t="s">
        <v>63</v>
      </c>
      <c r="C51" s="67" t="n">
        <v>4.5</v>
      </c>
      <c r="D51" s="67" t="n">
        <v>0</v>
      </c>
      <c r="E51" s="67" t="n">
        <v>0</v>
      </c>
      <c r="F51" s="67" t="n">
        <v>0</v>
      </c>
      <c r="G51" s="15"/>
      <c r="H51" s="74" t="s">
        <v>81</v>
      </c>
    </row>
    <row r="52" ht="16.5" customHeight="1">
      <c r="A52" s="54"/>
      <c r="B52" s="60" t="s">
        <v>140</v>
      </c>
      <c r="C52" s="67" t="n">
        <v>3</v>
      </c>
      <c r="D52" s="67" t="n">
        <v>0</v>
      </c>
      <c r="E52" s="67" t="n">
        <v>0</v>
      </c>
      <c r="F52" s="67" t="n">
        <v>0</v>
      </c>
      <c r="G52" s="15"/>
      <c r="H52" s="74" t="s">
        <v>81</v>
      </c>
    </row>
    <row r="53" ht="16.5" customHeight="1">
      <c r="A53" s="54"/>
      <c r="B53" s="60" t="s">
        <v>64</v>
      </c>
      <c r="C53" s="67" t="n">
        <v>3</v>
      </c>
      <c r="D53" s="67" t="n">
        <v>0</v>
      </c>
      <c r="E53" s="67" t="n">
        <v>0</v>
      </c>
      <c r="F53" s="67" t="n">
        <v>0</v>
      </c>
      <c r="G53" s="15"/>
      <c r="H53" s="74" t="s">
        <v>81</v>
      </c>
    </row>
    <row r="54" ht="16.5" customHeight="1">
      <c r="A54" s="59" t="s">
        <v>142</v>
      </c>
      <c r="B54" s="60" t="s">
        <v>63</v>
      </c>
      <c r="C54" s="67" t="n">
        <v>5</v>
      </c>
      <c r="D54" s="67" t="n">
        <v>0</v>
      </c>
      <c r="E54" s="67" t="n">
        <v>0</v>
      </c>
      <c r="F54" s="67" t="n">
        <v>0</v>
      </c>
      <c r="G54" s="15"/>
      <c r="H54" s="74" t="s">
        <v>142</v>
      </c>
    </row>
    <row r="55" ht="16.5" customHeight="1">
      <c r="A55" s="54"/>
      <c r="B55" s="60" t="s">
        <v>69</v>
      </c>
      <c r="C55" s="67" t="n">
        <v>3</v>
      </c>
      <c r="D55" s="67" t="n">
        <v>0</v>
      </c>
      <c r="E55" s="67" t="n">
        <v>3</v>
      </c>
      <c r="F55" s="67" t="n">
        <v>0</v>
      </c>
      <c r="G55" s="15"/>
      <c r="H55" s="74" t="s">
        <v>142</v>
      </c>
    </row>
    <row r="56" ht="16.5" customHeight="1">
      <c r="A56" s="59" t="s">
        <v>88</v>
      </c>
      <c r="B56" s="60" t="s">
        <v>67</v>
      </c>
      <c r="C56" s="67" t="n">
        <v>0</v>
      </c>
      <c r="D56" s="67" t="n">
        <v>0</v>
      </c>
      <c r="E56" s="67" t="n">
        <v>1</v>
      </c>
      <c r="F56" s="67" t="n">
        <v>0</v>
      </c>
      <c r="G56" s="15"/>
      <c r="H56" s="74" t="s">
        <v>88</v>
      </c>
    </row>
    <row r="57" ht="16.5" customHeight="1">
      <c r="A57" s="54"/>
      <c r="B57" s="61" t="s">
        <v>73</v>
      </c>
      <c r="C57" s="68" t="n">
        <v>0</v>
      </c>
      <c r="D57" s="68" t="n">
        <v>6</v>
      </c>
      <c r="E57" s="68" t="n">
        <v>0</v>
      </c>
      <c r="F57" s="68" t="n">
        <v>0</v>
      </c>
      <c r="G57" s="15"/>
      <c r="H57" s="74" t="s">
        <v>88</v>
      </c>
    </row>
    <row r="58" ht="16.5" customHeight="1">
      <c r="A58" s="35"/>
      <c r="G58" s="15"/>
      <c r="H58" s="74"/>
    </row>
    <row r="59" ht="16.5" customHeight="1">
      <c r="A59" s="35"/>
      <c r="G59" s="15"/>
      <c r="H59" s="74"/>
    </row>
    <row r="60" ht="16.5" customHeight="1">
      <c r="A60" s="35"/>
      <c r="B60" s="35"/>
      <c r="C60" s="35"/>
      <c r="D60" s="35"/>
      <c r="E60" s="35"/>
      <c r="F60" s="35"/>
      <c r="G60" s="15"/>
      <c r="H60" s="74"/>
    </row>
    <row r="61" ht="16.5" customHeight="1">
      <c r="A61" s="35"/>
      <c r="B61" s="35"/>
      <c r="C61" s="35"/>
      <c r="D61" s="35"/>
      <c r="E61" s="35"/>
      <c r="F61" s="35"/>
      <c r="G61" s="15"/>
      <c r="H61" s="74"/>
    </row>
    <row r="62" ht="16.5" customHeight="1">
      <c r="A62" s="35"/>
      <c r="B62" s="35"/>
      <c r="C62" s="35"/>
      <c r="D62" s="35"/>
      <c r="E62" s="35"/>
      <c r="F62" s="35"/>
      <c r="G62" s="15"/>
      <c r="H62" s="74"/>
    </row>
    <row r="63" ht="16.5" customHeight="1">
      <c r="A63" s="35"/>
      <c r="B63" s="35"/>
      <c r="C63" s="35"/>
      <c r="D63" s="35"/>
      <c r="E63" s="35"/>
      <c r="F63" s="35"/>
      <c r="G63" s="15"/>
      <c r="H63" s="74"/>
    </row>
    <row r="64" ht="16.5" customHeight="1">
      <c r="A64" s="35"/>
      <c r="B64" s="35"/>
      <c r="C64" s="35"/>
      <c r="D64" s="35"/>
      <c r="E64" s="35"/>
      <c r="F64" s="35"/>
      <c r="G64" s="15"/>
      <c r="H64" s="74"/>
    </row>
    <row r="65" ht="16.5" customHeight="1">
      <c r="A65" s="35"/>
      <c r="B65" s="35"/>
      <c r="C65" s="35"/>
      <c r="D65" s="35"/>
      <c r="E65" s="35"/>
      <c r="F65" s="35"/>
      <c r="G65" s="15"/>
      <c r="H65" s="74"/>
    </row>
    <row r="66" ht="16.5" customHeight="1">
      <c r="A66" s="35"/>
      <c r="B66" s="35"/>
      <c r="C66" s="35"/>
      <c r="D66" s="35"/>
      <c r="E66" s="35"/>
      <c r="F66" s="35"/>
      <c r="G66" s="15"/>
      <c r="H66" s="74"/>
    </row>
    <row r="67" ht="16.5" customHeight="1">
      <c r="A67" s="35"/>
      <c r="B67" s="35"/>
      <c r="C67" s="35"/>
      <c r="D67" s="35"/>
      <c r="E67" s="35"/>
      <c r="F67" s="35"/>
      <c r="G67" s="15"/>
      <c r="H67" s="74"/>
    </row>
    <row r="68" ht="16.5" customHeight="1">
      <c r="A68" s="35"/>
      <c r="B68" s="35"/>
      <c r="C68" s="35"/>
      <c r="D68" s="35"/>
      <c r="E68" s="35"/>
      <c r="F68" s="35"/>
      <c r="G68" s="15"/>
      <c r="H68" s="74"/>
    </row>
    <row r="69" ht="16.5" customHeight="1">
      <c r="A69" s="35"/>
      <c r="B69" s="35"/>
      <c r="C69" s="35"/>
      <c r="D69" s="35"/>
      <c r="E69" s="35"/>
      <c r="F69" s="35"/>
      <c r="G69" s="15"/>
      <c r="H69" s="74"/>
    </row>
    <row r="70" ht="16.5" customHeight="1">
      <c r="A70" s="35"/>
      <c r="B70" s="35"/>
      <c r="C70" s="35"/>
      <c r="D70" s="35"/>
      <c r="E70" s="35"/>
      <c r="F70" s="35"/>
      <c r="G70" s="15"/>
      <c r="H70" s="74"/>
    </row>
    <row r="71" ht="16.5" customHeight="1">
      <c r="A71" s="35"/>
      <c r="B71" s="35"/>
      <c r="C71" s="35"/>
      <c r="D71" s="35"/>
      <c r="E71" s="35"/>
      <c r="F71" s="35"/>
      <c r="G71" s="15"/>
      <c r="H71" s="74"/>
    </row>
    <row r="72" ht="16.5" customHeight="1">
      <c r="A72" s="35"/>
      <c r="B72" s="35"/>
      <c r="C72" s="35"/>
      <c r="D72" s="35"/>
      <c r="E72" s="35"/>
      <c r="F72" s="35"/>
      <c r="G72" s="15"/>
      <c r="H72" s="74"/>
    </row>
    <row r="73" ht="16.5" customHeight="1">
      <c r="A73" s="35"/>
      <c r="B73" s="35"/>
      <c r="C73" s="35"/>
      <c r="D73" s="35"/>
      <c r="E73" s="35"/>
      <c r="F73" s="35"/>
      <c r="G73" s="15"/>
      <c r="H73" s="74"/>
    </row>
    <row r="74" ht="16.5" customHeight="1">
      <c r="A74" s="35"/>
      <c r="B74" s="35"/>
      <c r="C74" s="35"/>
      <c r="D74" s="35"/>
      <c r="E74" s="35"/>
      <c r="F74" s="35"/>
      <c r="G74" s="15"/>
      <c r="H74" s="74"/>
    </row>
    <row r="75" ht="16.5" customHeight="1">
      <c r="A75" s="35"/>
      <c r="B75" s="35"/>
      <c r="C75" s="35"/>
      <c r="D75" s="35"/>
      <c r="E75" s="35"/>
      <c r="F75" s="35"/>
      <c r="G75" s="15"/>
      <c r="H75" s="74"/>
    </row>
    <row r="76" ht="16.5" customHeight="1">
      <c r="A76" s="35"/>
      <c r="B76" s="35"/>
      <c r="C76" s="35"/>
      <c r="D76" s="35"/>
      <c r="E76" s="35"/>
      <c r="F76" s="35"/>
      <c r="G76" s="15"/>
      <c r="H76" s="74"/>
    </row>
    <row r="77" ht="16.5" customHeight="1">
      <c r="A77" s="35"/>
      <c r="B77" s="35"/>
      <c r="C77" s="35"/>
      <c r="D77" s="35"/>
      <c r="E77" s="35"/>
      <c r="F77" s="35"/>
      <c r="G77" s="15"/>
      <c r="H77" s="74"/>
    </row>
    <row r="78" ht="16.5" customHeight="1">
      <c r="A78" s="35"/>
      <c r="B78" s="35"/>
      <c r="C78" s="35"/>
      <c r="D78" s="35"/>
      <c r="E78" s="35"/>
      <c r="F78" s="35"/>
      <c r="G78" s="15"/>
      <c r="H78" s="74"/>
    </row>
    <row r="79" ht="16.5" customHeight="1">
      <c r="A79" s="35"/>
      <c r="B79" s="35"/>
      <c r="C79" s="35"/>
      <c r="D79" s="35"/>
      <c r="E79" s="35"/>
      <c r="F79" s="35"/>
      <c r="G79" s="15"/>
      <c r="H79" s="74"/>
    </row>
    <row r="80" ht="16.5" customHeight="1">
      <c r="A80" s="35"/>
      <c r="B80" s="35"/>
      <c r="C80" s="35"/>
      <c r="D80" s="35"/>
      <c r="E80" s="35"/>
      <c r="F80" s="35"/>
      <c r="G80" s="15"/>
      <c r="H80" s="74"/>
    </row>
    <row r="81" ht="16.5" customHeight="1">
      <c r="A81" s="35"/>
      <c r="B81" s="35"/>
      <c r="C81" s="35"/>
      <c r="D81" s="35"/>
      <c r="E81" s="35"/>
      <c r="F81" s="35"/>
      <c r="G81" s="15"/>
      <c r="H81" s="74"/>
    </row>
    <row r="82" ht="16.5" customHeight="1">
      <c r="A82" s="35"/>
      <c r="B82" s="35"/>
      <c r="C82" s="35"/>
      <c r="D82" s="35"/>
      <c r="E82" s="35"/>
      <c r="F82" s="35"/>
      <c r="G82" s="15"/>
      <c r="H82" s="74"/>
    </row>
    <row r="83" ht="16.5" customHeight="1">
      <c r="A83" s="35"/>
      <c r="B83" s="35"/>
      <c r="C83" s="35"/>
      <c r="D83" s="35"/>
      <c r="E83" s="35"/>
      <c r="F83" s="35"/>
      <c r="G83" s="15"/>
      <c r="H83" s="74"/>
    </row>
    <row r="84" ht="16.5" customHeight="1">
      <c r="A84" s="35"/>
      <c r="B84" s="35"/>
      <c r="C84" s="35"/>
      <c r="D84" s="35"/>
      <c r="E84" s="35"/>
      <c r="F84" s="35"/>
      <c r="G84" s="15"/>
      <c r="H84" s="74"/>
    </row>
    <row r="85" ht="16.5" customHeight="1">
      <c r="A85" s="35"/>
      <c r="B85" s="35"/>
      <c r="C85" s="35"/>
      <c r="D85" s="35"/>
      <c r="E85" s="35"/>
      <c r="F85" s="35"/>
      <c r="G85" s="15"/>
      <c r="H85" s="74"/>
    </row>
    <row r="86" ht="16.5" customHeight="1">
      <c r="A86" s="35"/>
      <c r="B86" s="35"/>
      <c r="C86" s="35"/>
      <c r="D86" s="35"/>
      <c r="E86" s="35"/>
      <c r="F86" s="35"/>
      <c r="G86" s="15"/>
      <c r="H86" s="74"/>
    </row>
    <row r="87" ht="16.5" customHeight="1">
      <c r="A87" s="35"/>
      <c r="B87" s="35"/>
      <c r="C87" s="35"/>
      <c r="D87" s="35"/>
      <c r="E87" s="35"/>
      <c r="F87" s="35"/>
      <c r="G87" s="15"/>
      <c r="H87" s="74"/>
    </row>
    <row r="88" ht="16.5" customHeight="1">
      <c r="A88" s="35"/>
      <c r="B88" s="35"/>
      <c r="C88" s="35"/>
      <c r="D88" s="35"/>
      <c r="E88" s="35"/>
      <c r="F88" s="35"/>
      <c r="G88" s="15"/>
      <c r="H88" s="74"/>
    </row>
    <row r="89" ht="16.5" customHeight="1">
      <c r="A89" s="35"/>
      <c r="B89" s="35"/>
      <c r="C89" s="35"/>
      <c r="D89" s="35"/>
      <c r="E89" s="35"/>
      <c r="F89" s="35"/>
      <c r="G89" s="15"/>
      <c r="H89" s="74"/>
    </row>
    <row r="90" ht="16.5" customHeight="1">
      <c r="A90" s="35"/>
      <c r="B90" s="35"/>
      <c r="C90" s="35"/>
      <c r="D90" s="35"/>
      <c r="E90" s="35"/>
      <c r="F90" s="35"/>
      <c r="G90" s="15"/>
      <c r="H90" s="74"/>
    </row>
    <row r="91" ht="16.5" customHeight="1">
      <c r="A91" s="35"/>
      <c r="B91" s="35"/>
      <c r="C91" s="35"/>
      <c r="D91" s="35"/>
      <c r="E91" s="35"/>
      <c r="F91" s="35"/>
      <c r="G91" s="15"/>
      <c r="H91" s="74"/>
    </row>
    <row r="92" ht="16.5" customHeight="1">
      <c r="A92" s="35"/>
      <c r="B92" s="35"/>
      <c r="C92" s="35"/>
      <c r="D92" s="35"/>
      <c r="E92" s="35"/>
      <c r="F92" s="35"/>
      <c r="G92" s="15"/>
      <c r="H92" s="74"/>
    </row>
    <row r="93" ht="16.5" customHeight="1">
      <c r="A93" s="35"/>
      <c r="B93" s="35"/>
      <c r="C93" s="35"/>
      <c r="D93" s="35"/>
      <c r="E93" s="35"/>
      <c r="F93" s="35"/>
      <c r="G93" s="15"/>
      <c r="H93" s="74"/>
    </row>
    <row r="94" ht="16.5" customHeight="1">
      <c r="A94" s="35"/>
      <c r="B94" s="35"/>
      <c r="C94" s="35"/>
      <c r="D94" s="35"/>
      <c r="E94" s="35"/>
      <c r="F94" s="35"/>
      <c r="G94" s="15"/>
      <c r="H94" s="74"/>
    </row>
    <row r="95" ht="16.5" customHeight="1">
      <c r="A95" s="35"/>
      <c r="B95" s="35"/>
      <c r="C95" s="35"/>
      <c r="D95" s="35"/>
      <c r="E95" s="35"/>
      <c r="F95" s="35"/>
      <c r="G95" s="15"/>
      <c r="H95" s="74"/>
    </row>
    <row r="96" ht="16.5" customHeight="1">
      <c r="A96" s="35"/>
      <c r="B96" s="35"/>
      <c r="C96" s="35"/>
      <c r="D96" s="35"/>
      <c r="E96" s="35"/>
      <c r="F96" s="35"/>
      <c r="G96" s="15"/>
      <c r="H96" s="74"/>
    </row>
    <row r="97" ht="16.5" customHeight="1">
      <c r="A97" s="35"/>
      <c r="B97" s="35"/>
      <c r="C97" s="35"/>
      <c r="D97" s="35"/>
      <c r="E97" s="35"/>
      <c r="F97" s="35"/>
      <c r="G97" s="15"/>
      <c r="H97" s="74"/>
    </row>
    <row r="98" ht="16.5" customHeight="1">
      <c r="A98" s="35"/>
      <c r="B98" s="35"/>
      <c r="C98" s="35"/>
      <c r="D98" s="35"/>
      <c r="E98" s="35"/>
      <c r="F98" s="35"/>
      <c r="G98" s="15"/>
      <c r="H98" s="74"/>
    </row>
    <row r="99" ht="16.5" customHeight="1">
      <c r="A99" s="35"/>
      <c r="B99" s="35"/>
      <c r="C99" s="35"/>
      <c r="D99" s="35"/>
      <c r="E99" s="35"/>
      <c r="F99" s="35"/>
      <c r="G99" s="15"/>
      <c r="H99" s="74"/>
    </row>
    <row r="100" ht="16.5" customHeight="1">
      <c r="A100" s="35"/>
      <c r="B100" s="35"/>
      <c r="C100" s="35"/>
      <c r="D100" s="35"/>
      <c r="E100" s="35"/>
      <c r="F100" s="35"/>
      <c r="G100" s="15"/>
      <c r="H100" s="74"/>
    </row>
    <row r="101" ht="16.5" customHeight="1">
      <c r="A101" s="35"/>
      <c r="B101" s="35"/>
      <c r="C101" s="35"/>
      <c r="D101" s="35"/>
      <c r="E101" s="35"/>
      <c r="F101" s="35"/>
      <c r="G101" s="15"/>
      <c r="H101" s="74"/>
    </row>
    <row r="102" ht="16.5" customHeight="1">
      <c r="A102" s="35"/>
      <c r="B102" s="35"/>
      <c r="C102" s="35"/>
      <c r="D102" s="35"/>
      <c r="E102" s="35"/>
      <c r="F102" s="35"/>
      <c r="G102" s="15"/>
      <c r="H102" s="74"/>
    </row>
    <row r="103" ht="16.5" customHeight="1">
      <c r="A103" s="35"/>
      <c r="B103" s="35"/>
      <c r="C103" s="35"/>
      <c r="D103" s="35"/>
      <c r="E103" s="35"/>
      <c r="F103" s="35"/>
      <c r="G103" s="15"/>
      <c r="H103" s="74"/>
    </row>
    <row r="104" ht="16.5" customHeight="1">
      <c r="A104" s="35"/>
      <c r="B104" s="35"/>
      <c r="C104" s="35"/>
      <c r="D104" s="35"/>
      <c r="E104" s="35"/>
      <c r="F104" s="35"/>
      <c r="G104" s="15"/>
      <c r="H104" s="74"/>
    </row>
    <row r="105" ht="16.5" customHeight="1">
      <c r="A105" s="35"/>
      <c r="B105" s="35"/>
      <c r="C105" s="35"/>
      <c r="D105" s="35"/>
      <c r="E105" s="35"/>
      <c r="F105" s="35"/>
      <c r="G105" s="15"/>
      <c r="H105" s="74"/>
    </row>
    <row r="106" ht="16.5" customHeight="1">
      <c r="A106" s="35"/>
      <c r="B106" s="35"/>
      <c r="C106" s="35"/>
      <c r="D106" s="35"/>
      <c r="E106" s="35"/>
      <c r="F106" s="35"/>
      <c r="G106" s="15"/>
      <c r="H106" s="74"/>
    </row>
    <row r="107" ht="16.5" customHeight="1">
      <c r="A107" s="35"/>
      <c r="B107" s="35"/>
      <c r="C107" s="35"/>
      <c r="D107" s="35"/>
      <c r="E107" s="35"/>
      <c r="F107" s="35"/>
      <c r="G107" s="15"/>
      <c r="H107" s="74"/>
    </row>
    <row r="108" ht="16.5" customHeight="1">
      <c r="A108" s="35"/>
      <c r="B108" s="35"/>
      <c r="C108" s="35"/>
      <c r="D108" s="35"/>
      <c r="E108" s="35"/>
      <c r="F108" s="35"/>
      <c r="G108" s="15"/>
      <c r="H108" s="74"/>
    </row>
    <row r="109" ht="16.5" customHeight="1">
      <c r="A109" s="35"/>
      <c r="B109" s="35"/>
      <c r="C109" s="35"/>
      <c r="D109" s="35"/>
      <c r="E109" s="35"/>
      <c r="F109" s="35"/>
      <c r="G109" s="15"/>
      <c r="H109" s="74"/>
    </row>
    <row r="110" ht="16.5" customHeight="1">
      <c r="A110" s="35"/>
      <c r="B110" s="35"/>
      <c r="C110" s="35"/>
      <c r="D110" s="35"/>
      <c r="E110" s="35"/>
      <c r="F110" s="35"/>
      <c r="G110" s="15"/>
      <c r="H110" s="74"/>
    </row>
    <row r="111" ht="16.5" customHeight="1">
      <c r="A111" s="35"/>
      <c r="B111" s="35"/>
      <c r="C111" s="35"/>
      <c r="D111" s="35"/>
      <c r="E111" s="35"/>
      <c r="F111" s="35"/>
      <c r="G111" s="15"/>
      <c r="H111" s="74"/>
    </row>
    <row r="112" ht="16.5" customHeight="1">
      <c r="A112" s="35"/>
      <c r="B112" s="35"/>
      <c r="C112" s="35"/>
      <c r="D112" s="35"/>
      <c r="E112" s="35"/>
      <c r="F112" s="35"/>
      <c r="G112" s="15"/>
      <c r="H112" s="74"/>
    </row>
    <row r="113" ht="16.5" customHeight="1">
      <c r="A113" s="35"/>
      <c r="B113" s="35"/>
      <c r="C113" s="35"/>
      <c r="D113" s="35"/>
      <c r="E113" s="35"/>
      <c r="F113" s="35"/>
      <c r="G113" s="15"/>
      <c r="H113" s="74"/>
    </row>
    <row r="114" ht="16.5" customHeight="1">
      <c r="A114" s="35"/>
      <c r="B114" s="35"/>
      <c r="C114" s="35"/>
      <c r="D114" s="35"/>
      <c r="E114" s="35"/>
      <c r="F114" s="35"/>
      <c r="G114" s="15"/>
      <c r="H114" s="74"/>
    </row>
    <row r="115" ht="16.5" customHeight="1">
      <c r="A115" s="35"/>
      <c r="B115" s="35"/>
      <c r="C115" s="35"/>
      <c r="D115" s="35"/>
      <c r="E115" s="35"/>
      <c r="F115" s="35"/>
      <c r="G115" s="15"/>
      <c r="H115" s="74"/>
    </row>
    <row r="116" ht="16.5" customHeight="1">
      <c r="A116" s="35"/>
      <c r="B116" s="35"/>
      <c r="C116" s="35"/>
      <c r="D116" s="35"/>
      <c r="E116" s="35"/>
      <c r="F116" s="35"/>
      <c r="G116" s="15"/>
      <c r="H116" s="74"/>
    </row>
    <row r="117" ht="16.5" customHeight="1">
      <c r="A117" s="35"/>
      <c r="B117" s="35"/>
      <c r="C117" s="35"/>
      <c r="D117" s="35"/>
      <c r="E117" s="35"/>
      <c r="F117" s="35"/>
      <c r="G117" s="15"/>
      <c r="H117" s="74"/>
    </row>
    <row r="118" ht="16.5" customHeight="1">
      <c r="A118" s="35"/>
      <c r="B118" s="35"/>
      <c r="C118" s="35"/>
      <c r="D118" s="35"/>
      <c r="E118" s="35"/>
      <c r="F118" s="35"/>
      <c r="G118" s="15"/>
      <c r="H118" s="74"/>
    </row>
    <row r="119" ht="16.5" customHeight="1">
      <c r="A119" s="35"/>
      <c r="B119" s="35"/>
      <c r="C119" s="35"/>
      <c r="D119" s="35"/>
      <c r="E119" s="35"/>
      <c r="F119" s="35"/>
      <c r="G119" s="15"/>
      <c r="H119" s="74"/>
    </row>
    <row r="120" ht="16.5" customHeight="1">
      <c r="A120" s="35"/>
      <c r="B120" s="35"/>
      <c r="C120" s="35"/>
      <c r="D120" s="35"/>
      <c r="E120" s="35"/>
      <c r="F120" s="35"/>
      <c r="G120" s="15"/>
      <c r="H120" s="74"/>
    </row>
    <row r="121" ht="16.5" customHeight="1">
      <c r="A121" s="35"/>
      <c r="B121" s="35"/>
      <c r="C121" s="35"/>
      <c r="D121" s="35"/>
      <c r="E121" s="35"/>
      <c r="F121" s="35"/>
      <c r="G121" s="15"/>
      <c r="H121" s="74"/>
    </row>
    <row r="122" ht="16.5" customHeight="1">
      <c r="A122" s="35"/>
      <c r="B122" s="35"/>
      <c r="C122" s="35"/>
      <c r="D122" s="35"/>
      <c r="E122" s="35"/>
      <c r="F122" s="35"/>
      <c r="G122" s="15"/>
      <c r="H122" s="74"/>
    </row>
    <row r="123" ht="16.5" customHeight="1">
      <c r="A123" s="35"/>
      <c r="B123" s="35"/>
      <c r="C123" s="35"/>
      <c r="D123" s="35"/>
      <c r="E123" s="35"/>
      <c r="F123" s="35"/>
      <c r="G123" s="15"/>
      <c r="H123" s="74"/>
    </row>
    <row r="124" ht="16.5" customHeight="1">
      <c r="A124" s="35"/>
      <c r="B124" s="35"/>
      <c r="C124" s="35"/>
      <c r="D124" s="35"/>
      <c r="E124" s="35"/>
      <c r="F124" s="35"/>
      <c r="G124" s="15"/>
      <c r="H124" s="74"/>
    </row>
    <row r="125" ht="16.5" customHeight="1">
      <c r="A125" s="35"/>
      <c r="B125" s="35"/>
      <c r="C125" s="35"/>
      <c r="D125" s="35"/>
      <c r="E125" s="35"/>
      <c r="F125" s="35"/>
      <c r="G125" s="15"/>
      <c r="H125" s="74"/>
    </row>
    <row r="126" ht="16.5" customHeight="1">
      <c r="A126" s="35"/>
      <c r="B126" s="35"/>
      <c r="C126" s="35"/>
      <c r="D126" s="35"/>
      <c r="E126" s="35"/>
      <c r="F126" s="35"/>
      <c r="G126" s="15"/>
      <c r="H126" s="74"/>
    </row>
    <row r="127" ht="16.5" customHeight="1">
      <c r="A127" s="35"/>
      <c r="B127" s="35"/>
      <c r="C127" s="35"/>
      <c r="D127" s="35"/>
      <c r="E127" s="35"/>
      <c r="F127" s="35"/>
      <c r="G127" s="15"/>
      <c r="H127" s="74"/>
    </row>
    <row r="128" ht="16.5" customHeight="1">
      <c r="A128" s="35"/>
      <c r="B128" s="35"/>
      <c r="C128" s="35"/>
      <c r="D128" s="35"/>
      <c r="E128" s="35"/>
      <c r="F128" s="35"/>
      <c r="G128" s="15"/>
      <c r="H128" s="74"/>
    </row>
    <row r="129" ht="16.5" customHeight="1">
      <c r="A129" s="35"/>
      <c r="B129" s="35"/>
      <c r="C129" s="35"/>
      <c r="D129" s="35"/>
      <c r="E129" s="35"/>
      <c r="F129" s="35"/>
      <c r="G129" s="15"/>
      <c r="H129" s="74"/>
    </row>
    <row r="130" ht="16.5" customHeight="1">
      <c r="A130" s="35"/>
      <c r="B130" s="35"/>
      <c r="C130" s="35"/>
      <c r="D130" s="35"/>
      <c r="E130" s="35"/>
      <c r="F130" s="35"/>
      <c r="G130" s="15"/>
      <c r="H130" s="74"/>
    </row>
    <row r="131" ht="16.5" customHeight="1">
      <c r="A131" s="35"/>
      <c r="B131" s="35"/>
      <c r="C131" s="35"/>
      <c r="D131" s="35"/>
      <c r="E131" s="35"/>
      <c r="F131" s="35"/>
      <c r="G131" s="15"/>
      <c r="H131" s="74"/>
    </row>
    <row r="132" ht="16.5" customHeight="1">
      <c r="A132" s="35"/>
      <c r="B132" s="35"/>
      <c r="C132" s="35"/>
      <c r="D132" s="35"/>
      <c r="E132" s="35"/>
      <c r="F132" s="35"/>
      <c r="G132" s="15"/>
      <c r="H132" s="74"/>
    </row>
    <row r="133" ht="16.5" customHeight="1">
      <c r="A133" s="35"/>
      <c r="B133" s="35"/>
      <c r="C133" s="35"/>
      <c r="D133" s="35"/>
      <c r="E133" s="35"/>
      <c r="F133" s="35"/>
      <c r="G133" s="15"/>
      <c r="H133" s="74"/>
    </row>
    <row r="134" ht="16.5" customHeight="1">
      <c r="A134" s="35"/>
      <c r="B134" s="35"/>
      <c r="C134" s="35"/>
      <c r="D134" s="35"/>
      <c r="E134" s="35"/>
      <c r="F134" s="35"/>
      <c r="G134" s="15"/>
      <c r="H134" s="74"/>
    </row>
    <row r="135" ht="16.5" customHeight="1">
      <c r="A135" s="35"/>
      <c r="B135" s="35"/>
      <c r="C135" s="35"/>
      <c r="D135" s="35"/>
      <c r="E135" s="35"/>
      <c r="F135" s="35"/>
      <c r="G135" s="15"/>
      <c r="H135" s="74"/>
    </row>
    <row r="136" ht="16.5" customHeight="1">
      <c r="A136" s="35"/>
      <c r="B136" s="35"/>
      <c r="C136" s="35"/>
      <c r="D136" s="35"/>
      <c r="E136" s="35"/>
      <c r="F136" s="35"/>
      <c r="G136" s="15"/>
      <c r="H136" s="74"/>
    </row>
    <row r="137" ht="16.5" customHeight="1">
      <c r="A137" s="35"/>
      <c r="B137" s="35"/>
      <c r="C137" s="35"/>
      <c r="D137" s="35"/>
      <c r="E137" s="35"/>
      <c r="F137" s="35"/>
      <c r="G137" s="15"/>
      <c r="H137" s="74"/>
    </row>
    <row r="138" ht="16.5" customHeight="1">
      <c r="A138" s="35"/>
      <c r="B138" s="35"/>
      <c r="C138" s="35"/>
      <c r="D138" s="35"/>
      <c r="E138" s="35"/>
      <c r="F138" s="35"/>
      <c r="G138" s="15"/>
      <c r="H138" s="74"/>
    </row>
    <row r="139" ht="16.5" customHeight="1">
      <c r="A139" s="35"/>
      <c r="B139" s="35"/>
      <c r="C139" s="35"/>
      <c r="D139" s="35"/>
      <c r="E139" s="35"/>
      <c r="F139" s="35"/>
      <c r="G139" s="15"/>
      <c r="H139" s="74"/>
    </row>
    <row r="140" ht="16.5" customHeight="1">
      <c r="A140" s="35"/>
      <c r="B140" s="35"/>
      <c r="C140" s="35"/>
      <c r="D140" s="35"/>
      <c r="E140" s="35"/>
      <c r="F140" s="35"/>
      <c r="G140" s="15"/>
      <c r="H140" s="74"/>
    </row>
    <row r="141" ht="16.5" customHeight="1">
      <c r="A141" s="35"/>
      <c r="B141" s="35"/>
      <c r="C141" s="35"/>
      <c r="D141" s="35"/>
      <c r="E141" s="35"/>
      <c r="F141" s="35"/>
      <c r="G141" s="15"/>
      <c r="H141" s="74"/>
    </row>
    <row r="142" ht="16.5" customHeight="1">
      <c r="A142" s="35"/>
      <c r="B142" s="35"/>
      <c r="C142" s="35"/>
      <c r="D142" s="35"/>
      <c r="E142" s="35"/>
      <c r="F142" s="35"/>
      <c r="G142" s="15"/>
      <c r="H142" s="74"/>
    </row>
    <row r="143" ht="16.5" customHeight="1">
      <c r="A143" s="35"/>
      <c r="B143" s="35"/>
      <c r="C143" s="35"/>
      <c r="D143" s="35"/>
      <c r="E143" s="35"/>
      <c r="F143" s="35"/>
      <c r="G143" s="15"/>
      <c r="H143" s="74"/>
    </row>
    <row r="144" ht="16.5" customHeight="1">
      <c r="A144" s="35"/>
      <c r="B144" s="35"/>
      <c r="C144" s="35"/>
      <c r="D144" s="35"/>
      <c r="E144" s="35"/>
      <c r="F144" s="35"/>
      <c r="G144" s="15"/>
      <c r="H144" s="74"/>
    </row>
    <row r="145" ht="16.5" customHeight="1">
      <c r="A145" s="35"/>
      <c r="B145" s="35"/>
      <c r="C145" s="35"/>
      <c r="D145" s="35"/>
      <c r="E145" s="35"/>
      <c r="F145" s="35"/>
      <c r="G145" s="15"/>
      <c r="H145" s="74"/>
    </row>
    <row r="146" ht="16.5" customHeight="1">
      <c r="A146" s="35"/>
      <c r="B146" s="35"/>
      <c r="C146" s="35"/>
      <c r="D146" s="35"/>
      <c r="E146" s="35"/>
      <c r="F146" s="35"/>
      <c r="G146" s="15"/>
      <c r="H146" s="74"/>
    </row>
    <row r="147" ht="16.5" customHeight="1">
      <c r="A147" s="35"/>
      <c r="B147" s="35"/>
      <c r="C147" s="35"/>
      <c r="D147" s="35"/>
      <c r="E147" s="35"/>
      <c r="F147" s="35"/>
      <c r="G147" s="15"/>
      <c r="H147" s="74"/>
    </row>
    <row r="148" ht="16.5" customHeight="1">
      <c r="A148" s="35"/>
      <c r="B148" s="35"/>
      <c r="C148" s="35"/>
      <c r="D148" s="35"/>
      <c r="E148" s="35"/>
      <c r="F148" s="35"/>
      <c r="G148" s="15"/>
      <c r="H148" s="74"/>
    </row>
    <row r="149" ht="16.5" customHeight="1">
      <c r="A149" s="35"/>
      <c r="B149" s="35"/>
      <c r="C149" s="35"/>
      <c r="D149" s="35"/>
      <c r="E149" s="35"/>
      <c r="F149" s="35"/>
      <c r="G149" s="15"/>
      <c r="H149" s="74"/>
    </row>
    <row r="150" ht="16.5" customHeight="1">
      <c r="A150" s="35"/>
      <c r="B150" s="35"/>
      <c r="C150" s="35"/>
      <c r="D150" s="35"/>
      <c r="E150" s="35"/>
      <c r="F150" s="35"/>
      <c r="G150" s="15"/>
      <c r="H150" s="74"/>
    </row>
    <row r="151" ht="16.5" customHeight="1">
      <c r="A151" s="35"/>
      <c r="B151" s="35"/>
      <c r="C151" s="35"/>
      <c r="D151" s="35"/>
      <c r="E151" s="35"/>
      <c r="F151" s="35"/>
      <c r="G151" s="15"/>
      <c r="H151" s="74"/>
    </row>
    <row r="152" ht="16.5" customHeight="1">
      <c r="A152" s="35"/>
      <c r="B152" s="35"/>
      <c r="C152" s="35"/>
      <c r="D152" s="35"/>
      <c r="E152" s="35"/>
      <c r="F152" s="35"/>
      <c r="G152" s="15"/>
      <c r="H152" s="74"/>
    </row>
    <row r="153" ht="16.5" customHeight="1">
      <c r="A153" s="35"/>
      <c r="B153" s="35"/>
      <c r="C153" s="35"/>
      <c r="D153" s="35"/>
      <c r="E153" s="35"/>
      <c r="F153" s="35"/>
      <c r="G153" s="15"/>
      <c r="H153" s="74"/>
    </row>
    <row r="154" ht="16.5" customHeight="1">
      <c r="A154" s="35"/>
      <c r="B154" s="35"/>
      <c r="C154" s="35"/>
      <c r="D154" s="35"/>
      <c r="E154" s="35"/>
      <c r="F154" s="35"/>
      <c r="G154" s="15"/>
      <c r="H154" s="74"/>
    </row>
    <row r="155" ht="16.5" customHeight="1">
      <c r="A155" s="35"/>
      <c r="B155" s="35"/>
      <c r="C155" s="35"/>
      <c r="D155" s="35"/>
      <c r="E155" s="35"/>
      <c r="F155" s="35"/>
      <c r="G155" s="15"/>
      <c r="H155" s="74"/>
    </row>
    <row r="156" ht="16.5" customHeight="1">
      <c r="A156" s="35"/>
      <c r="B156" s="35"/>
      <c r="C156" s="35"/>
      <c r="D156" s="35"/>
      <c r="E156" s="35"/>
      <c r="F156" s="35"/>
      <c r="G156" s="15"/>
      <c r="H156" s="74"/>
    </row>
    <row r="157" ht="16.5" customHeight="1">
      <c r="A157" s="35"/>
      <c r="B157" s="35"/>
      <c r="C157" s="35"/>
      <c r="D157" s="35"/>
      <c r="E157" s="35"/>
      <c r="F157" s="35"/>
      <c r="G157" s="15"/>
      <c r="H157" s="74"/>
    </row>
    <row r="158" ht="16.5" customHeight="1">
      <c r="A158" s="35"/>
      <c r="B158" s="35"/>
      <c r="C158" s="35"/>
      <c r="D158" s="35"/>
      <c r="E158" s="35"/>
      <c r="F158" s="35"/>
      <c r="G158" s="15"/>
      <c r="H158" s="74"/>
    </row>
    <row r="159" ht="16.5" customHeight="1">
      <c r="A159" s="35"/>
      <c r="B159" s="35"/>
      <c r="C159" s="35"/>
      <c r="D159" s="35"/>
      <c r="E159" s="35"/>
      <c r="F159" s="35"/>
      <c r="G159" s="15"/>
      <c r="H159" s="74"/>
    </row>
    <row r="160" ht="16.5" customHeight="1">
      <c r="A160" s="35"/>
      <c r="B160" s="35"/>
      <c r="C160" s="35"/>
      <c r="D160" s="35"/>
      <c r="E160" s="35"/>
      <c r="F160" s="35"/>
      <c r="G160" s="15"/>
      <c r="H160" s="74"/>
    </row>
    <row r="161" ht="16.5" customHeight="1">
      <c r="A161" s="35"/>
      <c r="B161" s="35"/>
      <c r="C161" s="35"/>
      <c r="D161" s="35"/>
      <c r="E161" s="35"/>
      <c r="F161" s="35"/>
      <c r="G161" s="15"/>
      <c r="H161" s="74"/>
    </row>
    <row r="162" ht="16.5" customHeight="1">
      <c r="A162" s="35"/>
      <c r="B162" s="35"/>
      <c r="C162" s="35"/>
      <c r="D162" s="35"/>
      <c r="E162" s="35"/>
      <c r="F162" s="35"/>
      <c r="G162" s="15"/>
      <c r="H162" s="74"/>
    </row>
    <row r="163" ht="16.5" customHeight="1">
      <c r="A163" s="35"/>
      <c r="B163" s="35"/>
      <c r="C163" s="35"/>
      <c r="D163" s="35"/>
      <c r="E163" s="35"/>
      <c r="F163" s="35"/>
      <c r="G163" s="15"/>
      <c r="H163" s="74"/>
    </row>
    <row r="164" ht="16.5" customHeight="1">
      <c r="A164" s="35"/>
      <c r="B164" s="35"/>
      <c r="C164" s="35"/>
      <c r="D164" s="35"/>
      <c r="E164" s="35"/>
      <c r="F164" s="35"/>
      <c r="G164" s="15"/>
      <c r="H164" s="74"/>
    </row>
    <row r="165" ht="16.5" customHeight="1">
      <c r="A165" s="35"/>
      <c r="B165" s="35"/>
      <c r="C165" s="35"/>
      <c r="D165" s="35"/>
      <c r="E165" s="35"/>
      <c r="F165" s="35"/>
      <c r="G165" s="15"/>
      <c r="H165" s="74"/>
    </row>
    <row r="166" ht="16.5" customHeight="1">
      <c r="A166" s="35"/>
      <c r="B166" s="35"/>
      <c r="C166" s="35"/>
      <c r="D166" s="35"/>
      <c r="E166" s="35"/>
      <c r="F166" s="35"/>
      <c r="G166" s="15"/>
      <c r="H166" s="74"/>
    </row>
    <row r="167" ht="16.5" customHeight="1">
      <c r="A167" s="35"/>
      <c r="B167" s="35"/>
      <c r="C167" s="35"/>
      <c r="D167" s="35"/>
      <c r="E167" s="35"/>
      <c r="F167" s="35"/>
      <c r="G167" s="15"/>
      <c r="H167" s="74"/>
    </row>
    <row r="168" ht="16.5" customHeight="1">
      <c r="A168" s="35"/>
      <c r="B168" s="35"/>
      <c r="C168" s="35"/>
      <c r="D168" s="35"/>
      <c r="E168" s="35"/>
      <c r="F168" s="35"/>
      <c r="G168" s="15"/>
      <c r="H168" s="74"/>
    </row>
    <row r="169" ht="16.5" customHeight="1">
      <c r="A169" s="35"/>
      <c r="B169" s="35"/>
      <c r="C169" s="35"/>
      <c r="D169" s="35"/>
      <c r="E169" s="35"/>
      <c r="F169" s="35"/>
      <c r="G169" s="15"/>
      <c r="H169" s="74"/>
    </row>
    <row r="170" ht="16.5" customHeight="1">
      <c r="A170" s="35"/>
      <c r="B170" s="35"/>
      <c r="C170" s="35"/>
      <c r="D170" s="35"/>
      <c r="E170" s="35"/>
      <c r="F170" s="35"/>
      <c r="G170" s="15"/>
      <c r="H170" s="74"/>
    </row>
    <row r="171" ht="16.5" customHeight="1">
      <c r="A171" s="35"/>
      <c r="B171" s="35"/>
      <c r="C171" s="35"/>
      <c r="D171" s="35"/>
      <c r="E171" s="35"/>
      <c r="F171" s="35"/>
      <c r="G171" s="15"/>
      <c r="H171" s="74"/>
    </row>
    <row r="172" ht="16.5" customHeight="1">
      <c r="A172" s="35"/>
      <c r="B172" s="35"/>
      <c r="C172" s="35"/>
      <c r="D172" s="35"/>
      <c r="E172" s="35"/>
      <c r="F172" s="35"/>
      <c r="G172" s="15"/>
      <c r="H172" s="74"/>
    </row>
    <row r="173" ht="16.5" customHeight="1">
      <c r="A173" s="35"/>
      <c r="B173" s="35"/>
      <c r="C173" s="35"/>
      <c r="D173" s="35"/>
      <c r="E173" s="35"/>
      <c r="F173" s="35"/>
      <c r="G173" s="15"/>
      <c r="H173" s="74"/>
    </row>
    <row r="174" ht="16.5" customHeight="1">
      <c r="A174" s="35"/>
      <c r="B174" s="35"/>
      <c r="C174" s="35"/>
      <c r="D174" s="35"/>
      <c r="E174" s="35"/>
      <c r="F174" s="35"/>
      <c r="G174" s="15"/>
      <c r="H174" s="74"/>
    </row>
    <row r="175" ht="16.5" customHeight="1">
      <c r="A175" s="35"/>
      <c r="B175" s="35"/>
      <c r="C175" s="35"/>
      <c r="D175" s="35"/>
      <c r="E175" s="35"/>
      <c r="F175" s="35"/>
      <c r="G175" s="15"/>
      <c r="H175" s="74"/>
    </row>
    <row r="176" ht="16.5" customHeight="1">
      <c r="A176" s="35"/>
      <c r="B176" s="35"/>
      <c r="C176" s="35"/>
      <c r="D176" s="35"/>
      <c r="E176" s="35"/>
      <c r="F176" s="35"/>
      <c r="G176" s="15"/>
      <c r="H176" s="74"/>
    </row>
    <row r="177" ht="16.5" customHeight="1">
      <c r="A177" s="35"/>
      <c r="B177" s="35"/>
      <c r="C177" s="35"/>
      <c r="D177" s="35"/>
      <c r="E177" s="35"/>
      <c r="F177" s="35"/>
      <c r="G177" s="15"/>
      <c r="H177" s="74"/>
    </row>
    <row r="178" ht="16.5" customHeight="1">
      <c r="A178" s="35"/>
      <c r="B178" s="35"/>
      <c r="C178" s="35"/>
      <c r="D178" s="35"/>
      <c r="E178" s="35"/>
      <c r="F178" s="35"/>
      <c r="G178" s="15"/>
      <c r="H178" s="74"/>
    </row>
    <row r="179" ht="16.5" customHeight="1">
      <c r="A179" s="35"/>
      <c r="B179" s="35"/>
      <c r="C179" s="35"/>
      <c r="D179" s="35"/>
      <c r="E179" s="35"/>
      <c r="F179" s="35"/>
      <c r="G179" s="15"/>
      <c r="H179" s="74"/>
    </row>
    <row r="180" ht="16.5" customHeight="1">
      <c r="A180" s="35"/>
      <c r="B180" s="35"/>
      <c r="C180" s="35"/>
      <c r="D180" s="35"/>
      <c r="E180" s="35"/>
      <c r="F180" s="35"/>
      <c r="G180" s="15"/>
      <c r="H180" s="74"/>
    </row>
    <row r="181" ht="16.5" customHeight="1">
      <c r="A181" s="35"/>
      <c r="B181" s="35"/>
      <c r="C181" s="35"/>
      <c r="D181" s="35"/>
      <c r="E181" s="35"/>
      <c r="F181" s="35"/>
      <c r="G181" s="15"/>
      <c r="H181" s="74"/>
    </row>
    <row r="182" ht="16.5" customHeight="1">
      <c r="A182" s="35"/>
      <c r="B182" s="35"/>
      <c r="C182" s="35"/>
      <c r="D182" s="35"/>
      <c r="E182" s="35"/>
      <c r="F182" s="35"/>
      <c r="G182" s="15"/>
      <c r="H182" s="74"/>
    </row>
    <row r="183" ht="16.5" customHeight="1">
      <c r="A183" s="35"/>
      <c r="B183" s="35"/>
      <c r="C183" s="35"/>
      <c r="D183" s="35"/>
      <c r="E183" s="35"/>
      <c r="F183" s="35"/>
      <c r="G183" s="15"/>
      <c r="H183" s="74"/>
    </row>
    <row r="184" ht="16.5" customHeight="1">
      <c r="A184" s="35"/>
      <c r="B184" s="35"/>
      <c r="C184" s="35"/>
      <c r="D184" s="35"/>
      <c r="E184" s="35"/>
      <c r="F184" s="35"/>
      <c r="G184" s="15"/>
      <c r="H184" s="74"/>
    </row>
    <row r="185" ht="16.5" customHeight="1">
      <c r="A185" s="35"/>
      <c r="B185" s="35"/>
      <c r="C185" s="35"/>
      <c r="D185" s="35"/>
      <c r="E185" s="35"/>
      <c r="F185" s="35"/>
      <c r="G185" s="15"/>
      <c r="H185" s="74"/>
    </row>
    <row r="186" ht="16.5" customHeight="1">
      <c r="A186" s="35"/>
      <c r="B186" s="35"/>
      <c r="C186" s="35"/>
      <c r="D186" s="35"/>
      <c r="E186" s="35"/>
      <c r="F186" s="35"/>
      <c r="G186" s="15"/>
      <c r="H186" s="74"/>
    </row>
    <row r="187" ht="16.5" customHeight="1">
      <c r="A187" s="35"/>
      <c r="B187" s="35"/>
      <c r="C187" s="35"/>
      <c r="D187" s="35"/>
      <c r="E187" s="35"/>
      <c r="F187" s="35"/>
      <c r="G187" s="15"/>
      <c r="H187" s="74"/>
    </row>
    <row r="188" ht="16.5" customHeight="1">
      <c r="A188" s="35"/>
      <c r="B188" s="35"/>
      <c r="C188" s="35"/>
      <c r="D188" s="35"/>
      <c r="E188" s="35"/>
      <c r="F188" s="35"/>
      <c r="G188" s="15"/>
      <c r="H188" s="74"/>
    </row>
    <row r="189" ht="16.5" customHeight="1">
      <c r="A189" s="35"/>
      <c r="B189" s="35"/>
      <c r="C189" s="35"/>
      <c r="D189" s="35"/>
      <c r="E189" s="35"/>
      <c r="F189" s="35"/>
      <c r="G189" s="15"/>
      <c r="H189" s="74"/>
    </row>
    <row r="190" ht="16.5" customHeight="1">
      <c r="A190" s="35"/>
      <c r="B190" s="35"/>
      <c r="C190" s="35"/>
      <c r="D190" s="35"/>
      <c r="E190" s="35"/>
      <c r="F190" s="35"/>
      <c r="G190" s="15"/>
      <c r="H190" s="74"/>
    </row>
    <row r="191" ht="16.5" customHeight="1">
      <c r="A191" s="35"/>
      <c r="B191" s="35"/>
      <c r="C191" s="35"/>
      <c r="D191" s="35"/>
      <c r="E191" s="35"/>
      <c r="F191" s="35"/>
      <c r="G191" s="15"/>
      <c r="H191" s="74"/>
    </row>
    <row r="192" ht="16.5" customHeight="1">
      <c r="A192" s="35"/>
      <c r="B192" s="35"/>
      <c r="C192" s="35"/>
      <c r="D192" s="35"/>
      <c r="E192" s="35"/>
      <c r="F192" s="35"/>
      <c r="G192" s="15"/>
      <c r="H192" s="74"/>
    </row>
    <row r="193" ht="16.5" customHeight="1">
      <c r="A193" s="35"/>
      <c r="B193" s="35"/>
      <c r="C193" s="35"/>
      <c r="D193" s="35"/>
      <c r="E193" s="35"/>
      <c r="F193" s="35"/>
      <c r="G193" s="15"/>
      <c r="H193" s="74"/>
    </row>
    <row r="194" ht="16.5" customHeight="1">
      <c r="A194" s="35"/>
      <c r="B194" s="35"/>
      <c r="C194" s="35"/>
      <c r="D194" s="35"/>
      <c r="E194" s="35"/>
      <c r="F194" s="35"/>
      <c r="G194" s="15"/>
      <c r="H194" s="74"/>
    </row>
    <row r="195" ht="16.5" customHeight="1">
      <c r="A195" s="35"/>
      <c r="B195" s="35"/>
      <c r="C195" s="35"/>
      <c r="D195" s="35"/>
      <c r="E195" s="35"/>
      <c r="F195" s="35"/>
      <c r="G195" s="15"/>
      <c r="H195" s="74"/>
    </row>
    <row r="196" ht="16.5" customHeight="1">
      <c r="A196" s="35"/>
      <c r="B196" s="35"/>
      <c r="C196" s="35"/>
      <c r="D196" s="35"/>
      <c r="E196" s="35"/>
      <c r="F196" s="35"/>
      <c r="G196" s="15"/>
      <c r="H196" s="74"/>
    </row>
    <row r="197" ht="16.5" customHeight="1">
      <c r="A197" s="35"/>
      <c r="B197" s="35"/>
      <c r="C197" s="35"/>
      <c r="D197" s="35"/>
      <c r="E197" s="35"/>
      <c r="F197" s="35"/>
      <c r="G197" s="15"/>
      <c r="H197" s="74"/>
    </row>
    <row r="198" ht="16.5" customHeight="1">
      <c r="A198" s="35"/>
      <c r="B198" s="35"/>
      <c r="C198" s="35"/>
      <c r="D198" s="35"/>
      <c r="E198" s="35"/>
      <c r="F198" s="35"/>
      <c r="G198" s="15"/>
      <c r="H198" s="74"/>
    </row>
    <row r="199" ht="16.5" customHeight="1">
      <c r="A199" s="6"/>
      <c r="B199" s="6"/>
      <c r="C199" s="6"/>
      <c r="D199" s="6"/>
      <c r="G199" s="6"/>
      <c r="H199" s="74"/>
    </row>
    <row r="200" ht="16.5" customHeight="1">
      <c r="A200" s="6"/>
      <c r="B200" s="6"/>
      <c r="C200" s="6"/>
      <c r="D200" s="6"/>
      <c r="G200" s="6"/>
      <c r="H200" s="74"/>
    </row>
    <row r="201" ht="16.5" customHeight="1">
      <c r="A201" s="6"/>
      <c r="B201" s="6"/>
      <c r="C201" s="6"/>
      <c r="D201" s="6"/>
      <c r="G201" s="6"/>
      <c r="H201" s="74"/>
    </row>
    <row r="202" ht="16.5" customHeight="1">
      <c r="A202" s="6"/>
      <c r="B202" s="6"/>
      <c r="C202" s="6"/>
      <c r="D202" s="6"/>
      <c r="G202" s="6"/>
      <c r="H202" s="74"/>
    </row>
    <row r="203" ht="16.5" customHeight="1">
      <c r="A203" s="6"/>
      <c r="B203" s="6"/>
      <c r="C203" s="6"/>
      <c r="D203" s="6"/>
      <c r="G203" s="6"/>
      <c r="H203" s="74"/>
    </row>
    <row r="204" ht="16.5" customHeight="1">
      <c r="A204" s="6"/>
      <c r="B204" s="6"/>
      <c r="C204" s="6"/>
      <c r="D204" s="6"/>
      <c r="G204" s="6"/>
      <c r="H204" s="74"/>
    </row>
    <row r="205" ht="16.5" customHeight="1">
      <c r="A205" s="6"/>
      <c r="B205" s="6"/>
      <c r="C205" s="6"/>
      <c r="D205" s="6"/>
      <c r="G205" s="6"/>
      <c r="H205" s="74"/>
    </row>
    <row r="206" ht="16.5" customHeight="1">
      <c r="A206" s="6"/>
      <c r="B206" s="6"/>
      <c r="C206" s="6"/>
      <c r="D206" s="6"/>
      <c r="G206" s="6"/>
      <c r="H206" s="74"/>
    </row>
    <row r="207" ht="16.5" customHeight="1">
      <c r="A207" s="6"/>
      <c r="B207" s="6"/>
      <c r="C207" s="6"/>
      <c r="D207" s="6"/>
      <c r="G207" s="6"/>
      <c r="H207" s="74"/>
    </row>
    <row r="208" ht="16.5" customHeight="1">
      <c r="A208" s="6"/>
      <c r="B208" s="6"/>
      <c r="C208" s="6"/>
      <c r="D208" s="6"/>
      <c r="G208" s="6"/>
      <c r="H208" s="74"/>
    </row>
    <row r="209" ht="16.5" customHeight="1">
      <c r="A209" s="6"/>
      <c r="B209" s="6"/>
      <c r="C209" s="6"/>
      <c r="D209" s="6"/>
      <c r="G209" s="6"/>
      <c r="H209" s="74"/>
    </row>
    <row r="210" ht="16.5" customHeight="1">
      <c r="A210" s="6"/>
      <c r="B210" s="6"/>
      <c r="C210" s="6"/>
      <c r="D210" s="6"/>
      <c r="G210" s="6"/>
      <c r="H210" s="74"/>
    </row>
    <row r="211" ht="16.5" customHeight="1">
      <c r="A211" s="6"/>
      <c r="B211" s="6"/>
      <c r="C211" s="6"/>
      <c r="D211" s="6"/>
      <c r="G211" s="6"/>
      <c r="H211" s="74"/>
    </row>
    <row r="212" ht="16.5" customHeight="1">
      <c r="A212" s="6"/>
      <c r="B212" s="6"/>
      <c r="C212" s="6"/>
      <c r="D212" s="6"/>
      <c r="G212" s="6"/>
      <c r="H212" s="74"/>
    </row>
    <row r="213" ht="16.5" customHeight="1">
      <c r="A213" s="6"/>
      <c r="B213" s="6"/>
      <c r="C213" s="6"/>
      <c r="D213" s="6"/>
      <c r="G213" s="6"/>
      <c r="H213" s="74"/>
    </row>
    <row r="214" ht="16.5" customHeight="1">
      <c r="A214" s="6"/>
      <c r="B214" s="6"/>
      <c r="C214" s="6"/>
      <c r="D214" s="6"/>
      <c r="G214" s="6"/>
      <c r="H214" s="74"/>
    </row>
    <row r="215" ht="16.5" customHeight="1">
      <c r="A215" s="6"/>
      <c r="B215" s="6"/>
      <c r="C215" s="6"/>
      <c r="D215" s="6"/>
      <c r="G215" s="6"/>
      <c r="H215" s="74"/>
    </row>
    <row r="216" ht="16.5" customHeight="1">
      <c r="A216" s="6"/>
      <c r="B216" s="6"/>
      <c r="C216" s="6"/>
      <c r="D216" s="6"/>
      <c r="G216" s="6"/>
      <c r="H216" s="74"/>
    </row>
    <row r="217" ht="16.5" customHeight="1">
      <c r="A217" s="6"/>
      <c r="B217" s="6"/>
      <c r="C217" s="6"/>
      <c r="D217" s="6"/>
      <c r="G217" s="6"/>
      <c r="H217" s="74"/>
    </row>
    <row r="218" ht="16.5" customHeight="1">
      <c r="A218" s="6"/>
      <c r="B218" s="6"/>
      <c r="C218" s="6"/>
      <c r="D218" s="6"/>
      <c r="G218" s="6"/>
      <c r="H218" s="74"/>
    </row>
    <row r="219" ht="16.5" customHeight="1">
      <c r="A219" s="6"/>
      <c r="B219" s="6"/>
      <c r="C219" s="6"/>
      <c r="D219" s="6"/>
      <c r="G219" s="6"/>
      <c r="H219" s="74"/>
    </row>
    <row r="220" ht="16.5" customHeight="1">
      <c r="A220" s="6"/>
      <c r="B220" s="6"/>
      <c r="C220" s="6"/>
      <c r="D220" s="6"/>
      <c r="G220" s="6"/>
      <c r="H220" s="74"/>
    </row>
    <row r="221" ht="16.5" customHeight="1">
      <c r="A221" s="6"/>
      <c r="B221" s="6"/>
      <c r="C221" s="6"/>
      <c r="D221" s="6"/>
      <c r="G221" s="6"/>
      <c r="H221" s="74"/>
    </row>
    <row r="222" ht="16.5" customHeight="1">
      <c r="A222" s="6"/>
      <c r="B222" s="6"/>
      <c r="C222" s="6"/>
      <c r="D222" s="6"/>
      <c r="G222" s="6"/>
      <c r="H222" s="74"/>
    </row>
    <row r="223" ht="16.5" customHeight="1">
      <c r="A223" s="6"/>
      <c r="B223" s="6"/>
      <c r="C223" s="6"/>
      <c r="D223" s="6"/>
      <c r="G223" s="6"/>
      <c r="H223" s="74"/>
    </row>
    <row r="224" ht="16.5" customHeight="1">
      <c r="A224" s="6"/>
      <c r="B224" s="6"/>
      <c r="C224" s="6"/>
      <c r="D224" s="6"/>
      <c r="G224" s="6"/>
      <c r="H224" s="74"/>
    </row>
    <row r="225" ht="16.5" customHeight="1">
      <c r="A225" s="6"/>
      <c r="B225" s="6"/>
      <c r="C225" s="6"/>
      <c r="D225" s="6"/>
      <c r="G225" s="6"/>
      <c r="H225" s="74"/>
    </row>
    <row r="226" ht="16.5" customHeight="1">
      <c r="A226" s="6"/>
      <c r="B226" s="6"/>
      <c r="C226" s="6"/>
      <c r="D226" s="6"/>
      <c r="G226" s="6"/>
      <c r="H226" s="74"/>
    </row>
    <row r="227" ht="16.5" customHeight="1">
      <c r="A227" s="6"/>
      <c r="B227" s="6"/>
      <c r="C227" s="6"/>
      <c r="D227" s="6"/>
      <c r="G227" s="6"/>
      <c r="H227" s="74"/>
    </row>
    <row r="228" ht="16.5" customHeight="1">
      <c r="A228" s="6"/>
      <c r="B228" s="6"/>
      <c r="C228" s="6"/>
      <c r="D228" s="6"/>
      <c r="G228" s="6"/>
      <c r="H228" s="74"/>
    </row>
    <row r="229" ht="16.5" customHeight="1">
      <c r="A229" s="6"/>
      <c r="B229" s="6"/>
      <c r="C229" s="6"/>
      <c r="D229" s="6"/>
      <c r="G229" s="6"/>
      <c r="H229" s="74"/>
    </row>
    <row r="230" ht="16.5" customHeight="1">
      <c r="A230" s="6"/>
      <c r="B230" s="6"/>
      <c r="C230" s="6"/>
      <c r="D230" s="6"/>
      <c r="G230" s="6"/>
      <c r="H230" s="74"/>
    </row>
    <row r="231" ht="16.5" customHeight="1">
      <c r="A231" s="6"/>
      <c r="B231" s="6"/>
      <c r="C231" s="6"/>
      <c r="D231" s="6"/>
      <c r="G231" s="6"/>
      <c r="H231" s="74"/>
    </row>
    <row r="232" ht="16.5" customHeight="1">
      <c r="A232" s="6"/>
      <c r="B232" s="6"/>
      <c r="C232" s="6"/>
      <c r="D232" s="6"/>
      <c r="G232" s="6"/>
      <c r="H232" s="74"/>
    </row>
    <row r="233" ht="16.5" customHeight="1">
      <c r="A233" s="6"/>
      <c r="B233" s="6"/>
      <c r="C233" s="6"/>
      <c r="D233" s="6"/>
      <c r="G233" s="6"/>
      <c r="H233" s="74"/>
    </row>
    <row r="234" ht="16.5" customHeight="1">
      <c r="A234" s="6"/>
      <c r="B234" s="6"/>
      <c r="C234" s="6"/>
      <c r="D234" s="6"/>
      <c r="G234" s="6"/>
      <c r="H234" s="74"/>
    </row>
    <row r="235" ht="16.5" customHeight="1">
      <c r="A235" s="6"/>
      <c r="B235" s="6"/>
      <c r="C235" s="6"/>
      <c r="D235" s="6"/>
      <c r="G235" s="6"/>
      <c r="H235" s="74"/>
    </row>
    <row r="236" ht="16.5" customHeight="1">
      <c r="A236" s="6"/>
      <c r="B236" s="6"/>
      <c r="C236" s="6"/>
      <c r="D236" s="6"/>
      <c r="G236" s="6"/>
      <c r="H236" s="74"/>
    </row>
    <row r="237" ht="16.5" customHeight="1">
      <c r="A237" s="6"/>
      <c r="B237" s="6"/>
      <c r="C237" s="6"/>
      <c r="D237" s="6"/>
      <c r="G237" s="6"/>
      <c r="H237" s="74"/>
    </row>
    <row r="238" ht="16.5" customHeight="1">
      <c r="A238" s="6"/>
      <c r="B238" s="6"/>
      <c r="C238" s="6"/>
      <c r="D238" s="6"/>
      <c r="G238" s="6"/>
      <c r="H238" s="74"/>
    </row>
    <row r="239" ht="16.5" customHeight="1">
      <c r="A239" s="6"/>
      <c r="B239" s="6"/>
      <c r="C239" s="6"/>
      <c r="D239" s="6"/>
      <c r="G239" s="6"/>
      <c r="H239" s="74"/>
    </row>
    <row r="240" ht="16.5" customHeight="1">
      <c r="A240" s="6"/>
      <c r="B240" s="6"/>
      <c r="C240" s="6"/>
      <c r="D240" s="6"/>
      <c r="G240" s="6"/>
      <c r="H240" s="74"/>
    </row>
    <row r="241" ht="16.5" customHeight="1">
      <c r="A241" s="6"/>
      <c r="B241" s="6"/>
      <c r="C241" s="6"/>
      <c r="D241" s="6"/>
      <c r="G241" s="6"/>
      <c r="H241" s="74"/>
    </row>
    <row r="242" ht="16.5" customHeight="1">
      <c r="A242" s="6"/>
      <c r="B242" s="6"/>
      <c r="C242" s="6"/>
      <c r="D242" s="6"/>
      <c r="G242" s="6"/>
      <c r="H242" s="74"/>
    </row>
    <row r="243" ht="16.5" customHeight="1">
      <c r="A243" s="6"/>
      <c r="B243" s="6"/>
      <c r="C243" s="6"/>
      <c r="D243" s="6"/>
      <c r="G243" s="6"/>
      <c r="H243" s="74"/>
    </row>
    <row r="244" ht="16.5" customHeight="1">
      <c r="A244" s="6"/>
      <c r="B244" s="6"/>
      <c r="C244" s="6"/>
      <c r="D244" s="6"/>
      <c r="G244" s="6"/>
      <c r="H244" s="74"/>
    </row>
    <row r="245" ht="16.5" customHeight="1">
      <c r="A245" s="6"/>
      <c r="B245" s="6"/>
      <c r="C245" s="6"/>
      <c r="D245" s="6"/>
      <c r="G245" s="6"/>
      <c r="H245" s="74"/>
    </row>
    <row r="246" ht="16.5" customHeight="1">
      <c r="A246" s="6"/>
      <c r="B246" s="6"/>
      <c r="C246" s="6"/>
      <c r="D246" s="6"/>
      <c r="G246" s="6"/>
      <c r="H246" s="74"/>
    </row>
    <row r="247" ht="16.5" customHeight="1">
      <c r="A247" s="6"/>
      <c r="B247" s="6"/>
      <c r="C247" s="6"/>
      <c r="D247" s="6"/>
      <c r="G247" s="6"/>
      <c r="H247" s="74"/>
    </row>
    <row r="248" ht="16.5" customHeight="1">
      <c r="A248" s="6"/>
      <c r="B248" s="6"/>
      <c r="C248" s="6"/>
      <c r="D248" s="6"/>
      <c r="G248" s="6"/>
      <c r="H248" s="74"/>
    </row>
    <row r="249" ht="16.5" customHeight="1">
      <c r="A249" s="6"/>
      <c r="B249" s="6"/>
      <c r="C249" s="6"/>
      <c r="D249" s="6"/>
      <c r="G249" s="6"/>
      <c r="H249" s="74"/>
    </row>
    <row r="250" ht="16.5" customHeight="1">
      <c r="A250" s="6"/>
      <c r="B250" s="6"/>
      <c r="C250" s="6"/>
      <c r="D250" s="6"/>
      <c r="G250" s="6"/>
      <c r="H250" s="74"/>
    </row>
    <row r="251" ht="16.5" customHeight="1">
      <c r="A251" s="6"/>
      <c r="B251" s="6"/>
      <c r="C251" s="6"/>
      <c r="D251" s="6"/>
      <c r="G251" s="6"/>
      <c r="H251" s="74"/>
    </row>
    <row r="252" ht="16.5" customHeight="1">
      <c r="A252" s="6"/>
      <c r="B252" s="6"/>
      <c r="C252" s="6"/>
      <c r="D252" s="6"/>
      <c r="G252" s="6"/>
      <c r="H252" s="74"/>
    </row>
    <row r="253" ht="16.5" customHeight="1">
      <c r="A253" s="6"/>
      <c r="B253" s="6"/>
      <c r="C253" s="6"/>
      <c r="D253" s="6"/>
      <c r="G253" s="6"/>
      <c r="H253" s="74"/>
    </row>
    <row r="254" ht="16.5" customHeight="1">
      <c r="A254" s="6"/>
      <c r="B254" s="6"/>
      <c r="C254" s="6"/>
      <c r="D254" s="6"/>
      <c r="G254" s="6"/>
      <c r="H254" s="74"/>
    </row>
    <row r="255" ht="16.5" customHeight="1">
      <c r="A255" s="6"/>
      <c r="B255" s="6"/>
      <c r="C255" s="6"/>
      <c r="D255" s="6"/>
      <c r="G255" s="6"/>
      <c r="H255" s="74"/>
    </row>
    <row r="256" ht="16.5" customHeight="1">
      <c r="A256" s="6"/>
      <c r="B256" s="6"/>
      <c r="C256" s="6"/>
      <c r="D256" s="6"/>
      <c r="G256" s="6"/>
      <c r="H256" s="74"/>
    </row>
    <row r="257" ht="16.5" customHeight="1">
      <c r="A257" s="6"/>
      <c r="B257" s="6"/>
      <c r="C257" s="6"/>
      <c r="D257" s="6"/>
      <c r="G257" s="6"/>
      <c r="H257" s="74"/>
    </row>
    <row r="258" ht="16.5" customHeight="1">
      <c r="A258" s="6"/>
      <c r="B258" s="6"/>
      <c r="C258" s="6"/>
      <c r="D258" s="6"/>
      <c r="G258" s="6"/>
      <c r="H258" s="74"/>
    </row>
    <row r="259" ht="16.5" customHeight="1">
      <c r="A259" s="6"/>
      <c r="B259" s="6"/>
      <c r="C259" s="6"/>
      <c r="D259" s="6"/>
      <c r="G259" s="6"/>
      <c r="H259" s="74"/>
    </row>
    <row r="260" ht="16.5" customHeight="1">
      <c r="A260" s="6"/>
      <c r="B260" s="6"/>
      <c r="C260" s="6"/>
      <c r="D260" s="6"/>
      <c r="G260" s="6"/>
      <c r="H260" s="74"/>
    </row>
    <row r="261" ht="16.5" customHeight="1">
      <c r="A261" s="6"/>
      <c r="B261" s="6"/>
      <c r="C261" s="6"/>
      <c r="D261" s="6"/>
      <c r="G261" s="6"/>
      <c r="H261" s="74"/>
    </row>
    <row r="262" ht="16.5" customHeight="1">
      <c r="A262" s="6"/>
      <c r="B262" s="6"/>
      <c r="C262" s="6"/>
      <c r="D262" s="6"/>
      <c r="G262" s="6"/>
      <c r="H262" s="74"/>
    </row>
    <row r="263" ht="16.5" customHeight="1">
      <c r="A263" s="6"/>
      <c r="B263" s="6"/>
      <c r="C263" s="6"/>
      <c r="D263" s="6"/>
      <c r="G263" s="6"/>
      <c r="H263" s="74"/>
    </row>
    <row r="264" ht="16.5" customHeight="1">
      <c r="A264" s="6"/>
      <c r="B264" s="6"/>
      <c r="C264" s="6"/>
      <c r="D264" s="6"/>
      <c r="G264" s="6"/>
      <c r="H264" s="74"/>
    </row>
    <row r="265" ht="16.5" customHeight="1">
      <c r="A265" s="6"/>
      <c r="B265" s="6"/>
      <c r="C265" s="6"/>
      <c r="D265" s="6"/>
      <c r="G265" s="6"/>
      <c r="H265" s="74"/>
    </row>
    <row r="266" ht="16.5" customHeight="1">
      <c r="A266" s="6"/>
      <c r="B266" s="6"/>
      <c r="C266" s="6"/>
      <c r="D266" s="6"/>
      <c r="G266" s="6"/>
      <c r="H266" s="74"/>
    </row>
    <row r="267" ht="16.5" customHeight="1">
      <c r="A267" s="6"/>
      <c r="B267" s="6"/>
      <c r="C267" s="6"/>
      <c r="D267" s="6"/>
      <c r="G267" s="6"/>
      <c r="H267" s="74"/>
    </row>
    <row r="268" ht="16.5" customHeight="1">
      <c r="A268" s="6"/>
      <c r="B268" s="6"/>
      <c r="C268" s="6"/>
      <c r="D268" s="6"/>
      <c r="G268" s="6"/>
      <c r="H268" s="74"/>
    </row>
    <row r="269" ht="16.5" customHeight="1">
      <c r="A269" s="6"/>
      <c r="B269" s="6"/>
      <c r="C269" s="6"/>
      <c r="D269" s="6"/>
      <c r="G269" s="6"/>
      <c r="H269" s="74"/>
    </row>
    <row r="270" ht="16.5" customHeight="1">
      <c r="A270" s="6"/>
      <c r="B270" s="6"/>
      <c r="C270" s="6"/>
      <c r="D270" s="6"/>
      <c r="G270" s="6"/>
      <c r="H270" s="74"/>
    </row>
    <row r="271" ht="16.5" customHeight="1">
      <c r="A271" s="6"/>
      <c r="B271" s="6"/>
      <c r="C271" s="6"/>
      <c r="D271" s="6"/>
      <c r="G271" s="6"/>
      <c r="H271" s="74"/>
    </row>
    <row r="272" ht="16.5" customHeight="1">
      <c r="A272" s="6"/>
      <c r="B272" s="6"/>
      <c r="C272" s="6"/>
      <c r="D272" s="6"/>
      <c r="G272" s="6"/>
      <c r="H272" s="74"/>
    </row>
    <row r="273" ht="16.5" customHeight="1">
      <c r="A273" s="6"/>
      <c r="B273" s="6"/>
      <c r="C273" s="6"/>
      <c r="D273" s="6"/>
      <c r="G273" s="6"/>
      <c r="H273" s="74"/>
    </row>
    <row r="274" ht="16.5" customHeight="1">
      <c r="A274" s="6"/>
      <c r="B274" s="6"/>
      <c r="C274" s="6"/>
      <c r="D274" s="6"/>
      <c r="G274" s="6"/>
      <c r="H274" s="74"/>
    </row>
    <row r="275" ht="16.5" customHeight="1">
      <c r="A275" s="6"/>
      <c r="B275" s="6"/>
      <c r="C275" s="6"/>
      <c r="D275" s="6"/>
      <c r="G275" s="6"/>
      <c r="H275" s="74"/>
    </row>
    <row r="276" ht="16.5" customHeight="1">
      <c r="A276" s="6"/>
      <c r="B276" s="6"/>
      <c r="C276" s="6"/>
      <c r="D276" s="6"/>
      <c r="G276" s="6"/>
      <c r="H276" s="74"/>
    </row>
    <row r="277" ht="16.5" customHeight="1">
      <c r="A277" s="6"/>
      <c r="B277" s="6"/>
      <c r="C277" s="6"/>
      <c r="D277" s="6"/>
      <c r="G277" s="6"/>
      <c r="H277" s="74"/>
    </row>
    <row r="278" ht="16.5" customHeight="1">
      <c r="A278" s="6"/>
      <c r="B278" s="6"/>
      <c r="C278" s="6"/>
      <c r="D278" s="6"/>
      <c r="G278" s="6"/>
      <c r="H278" s="74"/>
    </row>
    <row r="279" ht="16.5" customHeight="1">
      <c r="A279" s="6"/>
      <c r="B279" s="6"/>
      <c r="C279" s="6"/>
      <c r="D279" s="6"/>
      <c r="G279" s="6"/>
      <c r="H279" s="74"/>
    </row>
    <row r="280" ht="16.5" customHeight="1">
      <c r="A280" s="6"/>
      <c r="B280" s="6"/>
      <c r="C280" s="6"/>
      <c r="D280" s="6"/>
      <c r="G280" s="6"/>
      <c r="H280" s="74"/>
    </row>
    <row r="281" ht="16.5" customHeight="1">
      <c r="A281" s="6"/>
      <c r="B281" s="6"/>
      <c r="C281" s="6"/>
      <c r="D281" s="6"/>
      <c r="G281" s="6"/>
      <c r="H281" s="74"/>
    </row>
    <row r="282" ht="16.5" customHeight="1">
      <c r="A282" s="6"/>
      <c r="B282" s="6"/>
      <c r="C282" s="6"/>
      <c r="D282" s="6"/>
      <c r="G282" s="6"/>
      <c r="H282" s="74"/>
    </row>
    <row r="283" ht="16.5" customHeight="1">
      <c r="A283" s="6"/>
      <c r="B283" s="6"/>
      <c r="C283" s="6"/>
      <c r="D283" s="6"/>
      <c r="G283" s="6"/>
      <c r="H283" s="74"/>
    </row>
    <row r="284" ht="16.5" customHeight="1">
      <c r="A284" s="6"/>
      <c r="B284" s="6"/>
      <c r="C284" s="6"/>
      <c r="D284" s="6"/>
      <c r="G284" s="6"/>
      <c r="H284" s="74"/>
    </row>
    <row r="285" ht="16.5" customHeight="1">
      <c r="A285" s="6"/>
      <c r="B285" s="6"/>
      <c r="C285" s="6"/>
      <c r="D285" s="6"/>
      <c r="G285" s="6"/>
      <c r="H285" s="74"/>
    </row>
    <row r="286" ht="16.5" customHeight="1">
      <c r="A286" s="6"/>
      <c r="B286" s="6"/>
      <c r="C286" s="6"/>
      <c r="D286" s="6"/>
      <c r="G286" s="6"/>
      <c r="H286" s="74"/>
    </row>
    <row r="287" ht="16.5" customHeight="1">
      <c r="A287" s="6"/>
      <c r="B287" s="6"/>
      <c r="C287" s="6"/>
      <c r="D287" s="6"/>
      <c r="G287" s="6"/>
      <c r="H287" s="74"/>
    </row>
    <row r="288" ht="16.5" customHeight="1">
      <c r="A288" s="6"/>
      <c r="B288" s="6"/>
      <c r="C288" s="6"/>
      <c r="D288" s="6"/>
      <c r="G288" s="6"/>
      <c r="H288" s="74"/>
    </row>
    <row r="289" ht="16.5" customHeight="1">
      <c r="A289" s="6"/>
      <c r="B289" s="6"/>
      <c r="C289" s="6"/>
      <c r="D289" s="6"/>
      <c r="G289" s="6"/>
      <c r="H289" s="74"/>
    </row>
    <row r="290" ht="16.5" customHeight="1">
      <c r="A290" s="6"/>
      <c r="B290" s="6"/>
      <c r="C290" s="6"/>
      <c r="D290" s="6"/>
      <c r="G290" s="6"/>
      <c r="H290" s="74"/>
    </row>
    <row r="291" ht="16.5" customHeight="1">
      <c r="A291" s="6"/>
      <c r="B291" s="6"/>
      <c r="C291" s="6"/>
      <c r="D291" s="6"/>
      <c r="G291" s="6"/>
      <c r="H291" s="74"/>
    </row>
    <row r="292" ht="16.5" customHeight="1">
      <c r="A292" s="6"/>
      <c r="B292" s="6"/>
      <c r="C292" s="6"/>
      <c r="D292" s="6"/>
      <c r="G292" s="6"/>
      <c r="H292" s="74"/>
    </row>
    <row r="293" ht="16.5" customHeight="1">
      <c r="A293" s="6"/>
      <c r="B293" s="6"/>
      <c r="C293" s="6"/>
      <c r="D293" s="6"/>
      <c r="G293" s="6"/>
      <c r="H293" s="74"/>
    </row>
    <row r="294" ht="16.5" customHeight="1">
      <c r="A294" s="6"/>
      <c r="B294" s="6"/>
      <c r="C294" s="6"/>
      <c r="D294" s="6"/>
      <c r="G294" s="6"/>
      <c r="H294" s="74"/>
    </row>
    <row r="295" ht="16.5" customHeight="1">
      <c r="A295" s="6"/>
      <c r="B295" s="6"/>
      <c r="C295" s="6"/>
      <c r="D295" s="6"/>
      <c r="G295" s="6"/>
      <c r="H295" s="74"/>
    </row>
    <row r="296" ht="16.5" customHeight="1">
      <c r="A296" s="6"/>
      <c r="B296" s="6"/>
      <c r="C296" s="6"/>
      <c r="D296" s="6"/>
      <c r="G296" s="6"/>
      <c r="H296" s="74"/>
    </row>
    <row r="297" ht="16.5" customHeight="1">
      <c r="A297" s="6"/>
      <c r="B297" s="6"/>
      <c r="C297" s="6"/>
      <c r="D297" s="6"/>
      <c r="G297" s="6"/>
      <c r="H297" s="74"/>
    </row>
    <row r="298" ht="16.5" customHeight="1">
      <c r="A298" s="6"/>
      <c r="B298" s="6"/>
      <c r="C298" s="6"/>
      <c r="D298" s="6"/>
      <c r="G298" s="6"/>
      <c r="H298" s="74"/>
    </row>
    <row r="299" ht="16.5" customHeight="1">
      <c r="A299" s="6"/>
      <c r="B299" s="6"/>
      <c r="C299" s="6"/>
      <c r="D299" s="6"/>
      <c r="G299" s="6"/>
      <c r="H299" s="74"/>
    </row>
    <row r="300" ht="16.5" customHeight="1">
      <c r="A300" s="6"/>
      <c r="B300" s="6"/>
      <c r="C300" s="6"/>
      <c r="D300" s="6"/>
      <c r="G300" s="6"/>
      <c r="H300" s="74"/>
    </row>
    <row r="301" ht="16.5" customHeight="1">
      <c r="A301" s="6"/>
      <c r="B301" s="6"/>
      <c r="C301" s="6"/>
      <c r="D301" s="6"/>
      <c r="G301" s="6"/>
      <c r="H301" s="74"/>
    </row>
    <row r="302" ht="16.5" customHeight="1">
      <c r="A302" s="6"/>
      <c r="B302" s="6"/>
      <c r="C302" s="6"/>
      <c r="D302" s="6"/>
      <c r="G302" s="6"/>
      <c r="H302" s="74"/>
    </row>
    <row r="303" ht="16.5" customHeight="1">
      <c r="A303" s="6"/>
      <c r="B303" s="6"/>
      <c r="C303" s="6"/>
      <c r="D303" s="6"/>
      <c r="G303" s="6"/>
      <c r="H303" s="74"/>
    </row>
    <row r="304" ht="16.5" customHeight="1">
      <c r="A304" s="6"/>
      <c r="B304" s="6"/>
      <c r="C304" s="6"/>
      <c r="D304" s="6"/>
      <c r="G304" s="6"/>
      <c r="H304" s="74"/>
    </row>
    <row r="305" ht="16.5" customHeight="1">
      <c r="A305" s="6"/>
      <c r="B305" s="6"/>
      <c r="C305" s="6"/>
      <c r="D305" s="6"/>
      <c r="G305" s="6"/>
      <c r="H305" s="74"/>
    </row>
    <row r="306" ht="16.5" customHeight="1">
      <c r="A306" s="6"/>
      <c r="B306" s="6"/>
      <c r="C306" s="6"/>
      <c r="D306" s="6"/>
      <c r="G306" s="6"/>
      <c r="H306" s="74"/>
    </row>
    <row r="307" ht="16.5" customHeight="1">
      <c r="A307" s="6"/>
      <c r="B307" s="6"/>
      <c r="C307" s="6"/>
      <c r="D307" s="6"/>
      <c r="G307" s="6"/>
      <c r="H307" s="74"/>
    </row>
    <row r="308" ht="16.5" customHeight="1">
      <c r="A308" s="6"/>
      <c r="B308" s="6"/>
      <c r="C308" s="6"/>
      <c r="D308" s="6"/>
      <c r="G308" s="6"/>
      <c r="H308" s="74"/>
    </row>
    <row r="309" ht="16.5" customHeight="1">
      <c r="A309" s="6"/>
      <c r="B309" s="6"/>
      <c r="C309" s="6"/>
      <c r="D309" s="6"/>
      <c r="G309" s="6"/>
      <c r="H309" s="74"/>
    </row>
    <row r="310" ht="16.5" customHeight="1">
      <c r="A310" s="6"/>
      <c r="B310" s="6"/>
      <c r="C310" s="6"/>
      <c r="D310" s="6"/>
      <c r="G310" s="6"/>
      <c r="H310" s="74"/>
    </row>
    <row r="311" ht="16.5" customHeight="1">
      <c r="A311" s="6"/>
      <c r="B311" s="6"/>
      <c r="C311" s="6"/>
      <c r="D311" s="6"/>
      <c r="G311" s="6"/>
      <c r="H311" s="74"/>
    </row>
    <row r="312" ht="16.5" customHeight="1">
      <c r="A312" s="6"/>
      <c r="B312" s="6"/>
      <c r="C312" s="6"/>
      <c r="D312" s="6"/>
      <c r="G312" s="6"/>
      <c r="H312" s="74"/>
    </row>
    <row r="313" ht="16.5" customHeight="1">
      <c r="A313" s="6"/>
      <c r="B313" s="6"/>
      <c r="C313" s="6"/>
      <c r="D313" s="6"/>
      <c r="G313" s="6"/>
      <c r="H313" s="74"/>
    </row>
    <row r="314" ht="16.5" customHeight="1">
      <c r="A314" s="6"/>
      <c r="B314" s="6"/>
      <c r="C314" s="6"/>
      <c r="D314" s="6"/>
      <c r="G314" s="6"/>
      <c r="H314" s="74"/>
    </row>
    <row r="315" ht="16.5" customHeight="1">
      <c r="A315" s="6"/>
      <c r="B315" s="6"/>
      <c r="C315" s="6"/>
      <c r="D315" s="6"/>
      <c r="G315" s="6"/>
      <c r="H315" s="74"/>
    </row>
    <row r="316" ht="16.5" customHeight="1">
      <c r="A316" s="6"/>
      <c r="B316" s="6"/>
      <c r="C316" s="6"/>
      <c r="D316" s="6"/>
      <c r="G316" s="6"/>
      <c r="H316" s="74"/>
    </row>
    <row r="317" ht="16.5" customHeight="1">
      <c r="A317" s="6"/>
      <c r="B317" s="6"/>
      <c r="C317" s="6"/>
      <c r="D317" s="6"/>
      <c r="G317" s="6"/>
      <c r="H317" s="74"/>
    </row>
    <row r="318" ht="16.5" customHeight="1">
      <c r="A318" s="6"/>
      <c r="B318" s="6"/>
      <c r="C318" s="6"/>
      <c r="D318" s="6"/>
      <c r="G318" s="6"/>
      <c r="H318" s="74"/>
    </row>
    <row r="319" ht="16.5" customHeight="1">
      <c r="A319" s="6"/>
      <c r="B319" s="6"/>
      <c r="C319" s="6"/>
      <c r="D319" s="6"/>
      <c r="G319" s="6"/>
      <c r="H319" s="74"/>
    </row>
    <row r="320" ht="16.5" customHeight="1">
      <c r="A320" s="6"/>
      <c r="B320" s="6"/>
      <c r="C320" s="6"/>
      <c r="D320" s="6"/>
      <c r="G320" s="6"/>
      <c r="H320" s="74"/>
    </row>
    <row r="321" ht="16.5" customHeight="1">
      <c r="A321" s="6"/>
      <c r="B321" s="6"/>
      <c r="C321" s="6"/>
      <c r="D321" s="6"/>
      <c r="G321" s="6"/>
      <c r="H321" s="74"/>
    </row>
    <row r="322" ht="16.5" customHeight="1">
      <c r="A322" s="6"/>
      <c r="B322" s="6"/>
      <c r="C322" s="6"/>
      <c r="D322" s="6"/>
      <c r="G322" s="6"/>
      <c r="H322" s="74"/>
    </row>
    <row r="323" ht="16.5" customHeight="1">
      <c r="A323" s="6"/>
      <c r="B323" s="6"/>
      <c r="C323" s="6"/>
      <c r="D323" s="6"/>
      <c r="G323" s="6"/>
      <c r="H323" s="74"/>
    </row>
    <row r="324" ht="16.5" customHeight="1">
      <c r="A324" s="6"/>
      <c r="B324" s="6"/>
      <c r="C324" s="6"/>
      <c r="D324" s="6"/>
      <c r="G324" s="6"/>
      <c r="H324" s="74"/>
    </row>
    <row r="325" ht="16.5" customHeight="1">
      <c r="A325" s="6"/>
      <c r="B325" s="6"/>
      <c r="C325" s="6"/>
      <c r="D325" s="6"/>
      <c r="G325" s="6"/>
      <c r="H325" s="74"/>
    </row>
    <row r="326" ht="16.5" customHeight="1">
      <c r="A326" s="6"/>
      <c r="B326" s="6"/>
      <c r="C326" s="6"/>
      <c r="D326" s="6"/>
      <c r="G326" s="6"/>
      <c r="H326" s="74"/>
    </row>
    <row r="327" ht="16.5" customHeight="1">
      <c r="A327" s="6"/>
      <c r="B327" s="6"/>
      <c r="C327" s="6"/>
      <c r="D327" s="6"/>
      <c r="G327" s="6"/>
      <c r="H327" s="74"/>
    </row>
    <row r="328" ht="16.5" customHeight="1">
      <c r="A328" s="6"/>
      <c r="B328" s="6"/>
      <c r="C328" s="6"/>
      <c r="D328" s="6"/>
      <c r="G328" s="6"/>
      <c r="H328" s="74"/>
    </row>
    <row r="329" ht="16.5" customHeight="1">
      <c r="A329" s="6"/>
      <c r="B329" s="6"/>
      <c r="C329" s="6"/>
      <c r="D329" s="6"/>
      <c r="G329" s="6"/>
      <c r="H329" s="74"/>
    </row>
    <row r="330" ht="16.5" customHeight="1">
      <c r="A330" s="6"/>
      <c r="B330" s="6"/>
      <c r="C330" s="6"/>
      <c r="D330" s="6"/>
      <c r="G330" s="6"/>
      <c r="H330" s="74"/>
    </row>
    <row r="331" ht="16.5" customHeight="1">
      <c r="A331" s="6"/>
      <c r="B331" s="6"/>
      <c r="C331" s="6"/>
      <c r="D331" s="6"/>
      <c r="G331" s="6"/>
      <c r="H331" s="74"/>
    </row>
    <row r="332" ht="16.5" customHeight="1">
      <c r="A332" s="6"/>
      <c r="B332" s="6"/>
      <c r="C332" s="6"/>
      <c r="D332" s="6"/>
      <c r="G332" s="6"/>
      <c r="H332" s="74"/>
    </row>
    <row r="333" ht="16.5" customHeight="1">
      <c r="A333" s="6"/>
      <c r="B333" s="6"/>
      <c r="C333" s="6"/>
      <c r="D333" s="6"/>
      <c r="G333" s="6"/>
      <c r="H333" s="74"/>
    </row>
    <row r="334" ht="16.5" customHeight="1">
      <c r="A334" s="6"/>
      <c r="B334" s="6"/>
      <c r="C334" s="6"/>
      <c r="D334" s="6"/>
      <c r="G334" s="6"/>
      <c r="H334" s="74"/>
    </row>
    <row r="335" ht="16.5" customHeight="1">
      <c r="A335" s="6"/>
      <c r="B335" s="6"/>
      <c r="C335" s="6"/>
      <c r="D335" s="6"/>
      <c r="G335" s="6"/>
      <c r="H335" s="74"/>
    </row>
    <row r="336" ht="16.5" customHeight="1">
      <c r="A336" s="6"/>
      <c r="B336" s="6"/>
      <c r="C336" s="6"/>
      <c r="D336" s="6"/>
      <c r="G336" s="6"/>
      <c r="H336" s="74"/>
    </row>
    <row r="337" ht="16.5" customHeight="1">
      <c r="A337" s="6"/>
      <c r="B337" s="6"/>
      <c r="C337" s="6"/>
      <c r="D337" s="6"/>
      <c r="G337" s="6"/>
      <c r="H337" s="74"/>
    </row>
    <row r="338" ht="16.5" customHeight="1">
      <c r="A338" s="6"/>
      <c r="B338" s="6"/>
      <c r="C338" s="6"/>
      <c r="D338" s="6"/>
      <c r="G338" s="6"/>
      <c r="H338" s="74"/>
    </row>
    <row r="339" ht="16.5" customHeight="1">
      <c r="A339" s="6"/>
      <c r="B339" s="6"/>
      <c r="C339" s="6"/>
      <c r="D339" s="6"/>
      <c r="G339" s="6"/>
      <c r="H339" s="74"/>
    </row>
    <row r="340" ht="16.5" customHeight="1">
      <c r="A340" s="6"/>
      <c r="B340" s="6"/>
      <c r="C340" s="6"/>
      <c r="D340" s="6"/>
      <c r="G340" s="6"/>
      <c r="H340" s="74"/>
    </row>
    <row r="341" ht="16.5" customHeight="1">
      <c r="A341" s="6"/>
      <c r="B341" s="6"/>
      <c r="C341" s="6"/>
      <c r="D341" s="6"/>
      <c r="G341" s="6"/>
      <c r="H341" s="74"/>
    </row>
    <row r="342" ht="16.5" customHeight="1">
      <c r="A342" s="6"/>
      <c r="B342" s="6"/>
      <c r="C342" s="6"/>
      <c r="D342" s="6"/>
      <c r="G342" s="6"/>
      <c r="H342" s="74"/>
    </row>
    <row r="343" ht="16.5" customHeight="1">
      <c r="A343" s="6"/>
      <c r="B343" s="6"/>
      <c r="C343" s="6"/>
      <c r="D343" s="6"/>
      <c r="G343" s="6"/>
      <c r="H343" s="74"/>
    </row>
    <row r="344" ht="16.5" customHeight="1">
      <c r="A344" s="6"/>
      <c r="B344" s="6"/>
      <c r="C344" s="6"/>
      <c r="D344" s="6"/>
      <c r="G344" s="6"/>
      <c r="H344" s="74"/>
    </row>
    <row r="345" ht="16.5" customHeight="1">
      <c r="A345" s="6"/>
      <c r="B345" s="6"/>
      <c r="C345" s="6"/>
      <c r="D345" s="6"/>
      <c r="G345" s="6"/>
      <c r="H345" s="74"/>
    </row>
    <row r="346" ht="16.5" customHeight="1">
      <c r="A346" s="6"/>
      <c r="B346" s="6"/>
      <c r="C346" s="6"/>
      <c r="D346" s="6"/>
      <c r="G346" s="6"/>
      <c r="H346" s="74"/>
    </row>
    <row r="347" ht="16.5" customHeight="1">
      <c r="A347" s="6"/>
      <c r="B347" s="6"/>
      <c r="C347" s="6"/>
      <c r="D347" s="6"/>
      <c r="G347" s="6"/>
      <c r="H347" s="74"/>
    </row>
    <row r="348" ht="16.5" customHeight="1">
      <c r="A348" s="6"/>
      <c r="B348" s="6"/>
      <c r="C348" s="6"/>
      <c r="D348" s="6"/>
      <c r="G348" s="6"/>
      <c r="H348" s="74"/>
    </row>
    <row r="349" ht="16.5" customHeight="1">
      <c r="A349" s="6"/>
      <c r="B349" s="6"/>
      <c r="C349" s="6"/>
      <c r="D349" s="6"/>
      <c r="G349" s="6"/>
      <c r="H349" s="74"/>
    </row>
    <row r="350" ht="16.5" customHeight="1">
      <c r="A350" s="6"/>
      <c r="B350" s="6"/>
      <c r="C350" s="6"/>
      <c r="D350" s="6"/>
      <c r="G350" s="6"/>
      <c r="H350" s="74"/>
    </row>
    <row r="351" ht="16.5" customHeight="1">
      <c r="A351" s="6"/>
      <c r="B351" s="6"/>
      <c r="C351" s="6"/>
      <c r="D351" s="6"/>
      <c r="G351" s="6"/>
      <c r="H351" s="74"/>
    </row>
    <row r="352" ht="16.5" customHeight="1">
      <c r="A352" s="6"/>
      <c r="B352" s="6"/>
      <c r="C352" s="6"/>
      <c r="D352" s="6"/>
      <c r="G352" s="6"/>
      <c r="H352" s="74"/>
    </row>
    <row r="353" ht="16.5" customHeight="1">
      <c r="A353" s="6"/>
      <c r="B353" s="6"/>
      <c r="C353" s="6"/>
      <c r="D353" s="6"/>
      <c r="G353" s="6"/>
      <c r="H353" s="74"/>
    </row>
    <row r="354" ht="16.5" customHeight="1">
      <c r="A354" s="6"/>
      <c r="B354" s="6"/>
      <c r="C354" s="6"/>
      <c r="D354" s="6"/>
      <c r="G354" s="6"/>
      <c r="H354" s="74"/>
    </row>
    <row r="355" ht="16.5" customHeight="1">
      <c r="A355" s="6"/>
      <c r="B355" s="6"/>
      <c r="C355" s="6"/>
      <c r="D355" s="6"/>
      <c r="G355" s="6"/>
      <c r="H355" s="74"/>
    </row>
    <row r="356" ht="16.5" customHeight="1">
      <c r="A356" s="6"/>
      <c r="B356" s="6"/>
      <c r="C356" s="6"/>
      <c r="D356" s="6"/>
      <c r="G356" s="6"/>
      <c r="H356" s="74"/>
    </row>
    <row r="357" ht="16.5" customHeight="1">
      <c r="A357" s="6"/>
      <c r="B357" s="6"/>
      <c r="C357" s="6"/>
      <c r="D357" s="6"/>
      <c r="G357" s="6"/>
      <c r="H357" s="74"/>
    </row>
    <row r="358" ht="16.5" customHeight="1">
      <c r="A358" s="6"/>
      <c r="B358" s="6"/>
      <c r="C358" s="6"/>
      <c r="D358" s="6"/>
      <c r="G358" s="6"/>
      <c r="H358" s="74"/>
    </row>
    <row r="359" ht="16.5" customHeight="1">
      <c r="A359" s="6"/>
      <c r="B359" s="6"/>
      <c r="C359" s="6"/>
      <c r="D359" s="6"/>
      <c r="G359" s="6"/>
      <c r="H359" s="74"/>
    </row>
    <row r="360" ht="16.5" customHeight="1">
      <c r="A360" s="6"/>
      <c r="B360" s="6"/>
      <c r="C360" s="6"/>
      <c r="D360" s="6"/>
      <c r="G360" s="6"/>
      <c r="H360" s="74"/>
    </row>
    <row r="361" ht="16.5" customHeight="1">
      <c r="A361" s="6"/>
      <c r="B361" s="6"/>
      <c r="C361" s="6"/>
      <c r="D361" s="6"/>
      <c r="G361" s="6"/>
      <c r="H361" s="74"/>
    </row>
    <row r="362" ht="16.5" customHeight="1">
      <c r="A362" s="6"/>
      <c r="B362" s="6"/>
      <c r="C362" s="6"/>
      <c r="D362" s="6"/>
      <c r="G362" s="6"/>
      <c r="H362" s="74"/>
    </row>
    <row r="363" ht="16.5" customHeight="1">
      <c r="A363" s="6"/>
      <c r="B363" s="6"/>
      <c r="C363" s="6"/>
      <c r="D363" s="6"/>
      <c r="G363" s="6"/>
      <c r="H363" s="74"/>
    </row>
    <row r="364" ht="16.5" customHeight="1">
      <c r="A364" s="6"/>
      <c r="B364" s="6"/>
      <c r="C364" s="6"/>
      <c r="D364" s="6"/>
      <c r="G364" s="6"/>
      <c r="H364" s="74"/>
    </row>
    <row r="365" ht="16.5" customHeight="1">
      <c r="A365" s="6"/>
      <c r="B365" s="6"/>
      <c r="C365" s="6"/>
      <c r="D365" s="6"/>
      <c r="G365" s="6"/>
      <c r="H365" s="74"/>
    </row>
    <row r="366" ht="16.5" customHeight="1">
      <c r="A366" s="6"/>
      <c r="B366" s="6"/>
      <c r="C366" s="6"/>
      <c r="D366" s="6"/>
      <c r="G366" s="6"/>
      <c r="H366" s="74"/>
    </row>
    <row r="367" ht="16.5" customHeight="1">
      <c r="A367" s="6"/>
      <c r="B367" s="6"/>
      <c r="C367" s="6"/>
      <c r="D367" s="6"/>
      <c r="G367" s="6"/>
      <c r="H367" s="74"/>
    </row>
    <row r="368" ht="16.5" customHeight="1">
      <c r="A368" s="6"/>
      <c r="B368" s="6"/>
      <c r="C368" s="6"/>
      <c r="D368" s="6"/>
      <c r="G368" s="6"/>
      <c r="H368" s="74"/>
    </row>
    <row r="369" ht="16.5" customHeight="1">
      <c r="A369" s="6"/>
      <c r="B369" s="6"/>
      <c r="C369" s="6"/>
      <c r="D369" s="6"/>
      <c r="G369" s="6"/>
      <c r="H369" s="74"/>
    </row>
    <row r="370" ht="16.5" customHeight="1">
      <c r="A370" s="6"/>
      <c r="B370" s="6"/>
      <c r="C370" s="6"/>
      <c r="D370" s="6"/>
      <c r="G370" s="6"/>
      <c r="H370" s="74"/>
    </row>
    <row r="371" ht="16.5" customHeight="1">
      <c r="A371" s="6"/>
      <c r="B371" s="6"/>
      <c r="C371" s="6"/>
      <c r="D371" s="6"/>
      <c r="G371" s="6"/>
      <c r="H371" s="74"/>
    </row>
    <row r="372" ht="16.5" customHeight="1">
      <c r="A372" s="6"/>
      <c r="B372" s="6"/>
      <c r="C372" s="6"/>
      <c r="D372" s="6"/>
      <c r="G372" s="6"/>
      <c r="H372" s="74"/>
    </row>
    <row r="373" ht="16.5" customHeight="1">
      <c r="A373" s="6"/>
      <c r="B373" s="6"/>
      <c r="C373" s="6"/>
      <c r="D373" s="6"/>
      <c r="G373" s="6"/>
      <c r="H373" s="74"/>
    </row>
    <row r="374" ht="16.5" customHeight="1">
      <c r="A374" s="6"/>
      <c r="B374" s="6"/>
      <c r="C374" s="6"/>
      <c r="D374" s="6"/>
      <c r="G374" s="6"/>
      <c r="H374" s="74"/>
    </row>
    <row r="375" ht="16.5" customHeight="1">
      <c r="A375" s="6"/>
      <c r="B375" s="6"/>
      <c r="C375" s="6"/>
      <c r="D375" s="6"/>
      <c r="G375" s="6"/>
      <c r="H375" s="74"/>
    </row>
    <row r="376" ht="16.5" customHeight="1">
      <c r="A376" s="6"/>
      <c r="B376" s="6"/>
      <c r="C376" s="6"/>
      <c r="D376" s="6"/>
      <c r="G376" s="6"/>
      <c r="H376" s="74"/>
    </row>
    <row r="377" ht="16.5" customHeight="1">
      <c r="A377" s="6"/>
      <c r="B377" s="6"/>
      <c r="C377" s="6"/>
      <c r="D377" s="6"/>
      <c r="G377" s="6"/>
      <c r="H377" s="74"/>
    </row>
    <row r="378" ht="16.5" customHeight="1">
      <c r="A378" s="6"/>
      <c r="B378" s="6"/>
      <c r="C378" s="6"/>
      <c r="D378" s="6"/>
      <c r="G378" s="6"/>
      <c r="H378" s="74"/>
    </row>
    <row r="379" ht="16.5" customHeight="1">
      <c r="A379" s="6"/>
      <c r="B379" s="6"/>
      <c r="C379" s="6"/>
      <c r="D379" s="6"/>
      <c r="G379" s="6"/>
      <c r="H379" s="74"/>
    </row>
    <row r="380" ht="16.5" customHeight="1">
      <c r="A380" s="6"/>
      <c r="B380" s="6"/>
      <c r="C380" s="6"/>
      <c r="D380" s="6"/>
      <c r="G380" s="6"/>
      <c r="H380" s="74"/>
    </row>
    <row r="381" ht="16.5" customHeight="1">
      <c r="A381" s="6"/>
      <c r="B381" s="6"/>
      <c r="C381" s="6"/>
      <c r="D381" s="6"/>
      <c r="G381" s="6"/>
      <c r="H381" s="74"/>
    </row>
    <row r="382" ht="16.5" customHeight="1">
      <c r="A382" s="6"/>
      <c r="B382" s="6"/>
      <c r="C382" s="6"/>
      <c r="D382" s="6"/>
      <c r="G382" s="6"/>
      <c r="H382" s="74"/>
    </row>
    <row r="383" ht="16.5" customHeight="1">
      <c r="A383" s="6"/>
      <c r="B383" s="6"/>
      <c r="C383" s="6"/>
      <c r="D383" s="6"/>
      <c r="G383" s="6"/>
      <c r="H383" s="74"/>
    </row>
    <row r="384" ht="16.5" customHeight="1">
      <c r="A384" s="6"/>
      <c r="B384" s="6"/>
      <c r="C384" s="6"/>
      <c r="D384" s="6"/>
      <c r="G384" s="6"/>
      <c r="H384" s="74"/>
    </row>
    <row r="385" ht="16.5" customHeight="1">
      <c r="A385" s="6"/>
      <c r="B385" s="6"/>
      <c r="C385" s="6"/>
      <c r="D385" s="6"/>
      <c r="G385" s="6"/>
      <c r="H385" s="74"/>
    </row>
    <row r="386" ht="16.5" customHeight="1">
      <c r="A386" s="6"/>
      <c r="B386" s="6"/>
      <c r="C386" s="6"/>
      <c r="D386" s="6"/>
      <c r="G386" s="6"/>
      <c r="H386" s="74"/>
    </row>
    <row r="387" ht="16.5" customHeight="1">
      <c r="A387" s="6"/>
      <c r="B387" s="6"/>
      <c r="C387" s="6"/>
      <c r="D387" s="6"/>
      <c r="G387" s="6"/>
      <c r="H387" s="74"/>
    </row>
    <row r="388" ht="16.5" customHeight="1">
      <c r="A388" s="6"/>
      <c r="B388" s="6"/>
      <c r="C388" s="6"/>
      <c r="D388" s="6"/>
      <c r="G388" s="6"/>
      <c r="H388" s="74"/>
    </row>
    <row r="389" ht="16.5" customHeight="1">
      <c r="A389" s="6"/>
      <c r="B389" s="6"/>
      <c r="C389" s="6"/>
      <c r="D389" s="6"/>
      <c r="G389" s="6"/>
      <c r="H389" s="74"/>
    </row>
    <row r="390" ht="16.5" customHeight="1">
      <c r="A390" s="6"/>
      <c r="B390" s="6"/>
      <c r="C390" s="6"/>
      <c r="D390" s="6"/>
      <c r="G390" s="6"/>
      <c r="H390" s="74"/>
    </row>
    <row r="391" ht="16.5" customHeight="1">
      <c r="A391" s="6"/>
      <c r="B391" s="6"/>
      <c r="C391" s="6"/>
      <c r="D391" s="6"/>
      <c r="G391" s="6"/>
      <c r="H391" s="74"/>
    </row>
    <row r="392" ht="16.5" customHeight="1">
      <c r="A392" s="6"/>
      <c r="B392" s="6"/>
      <c r="C392" s="6"/>
      <c r="D392" s="6"/>
      <c r="G392" s="6"/>
      <c r="H392" s="74"/>
    </row>
    <row r="393" ht="16.5" customHeight="1">
      <c r="A393" s="6"/>
      <c r="B393" s="6"/>
      <c r="C393" s="6"/>
      <c r="D393" s="6"/>
      <c r="G393" s="6"/>
      <c r="H393" s="74"/>
    </row>
    <row r="394" ht="16.5" customHeight="1">
      <c r="A394" s="6"/>
      <c r="B394" s="6"/>
      <c r="C394" s="6"/>
      <c r="D394" s="6"/>
      <c r="G394" s="6"/>
      <c r="H394" s="74"/>
    </row>
    <row r="395" ht="16.5" customHeight="1">
      <c r="A395" s="6"/>
      <c r="B395" s="6"/>
      <c r="C395" s="6"/>
      <c r="D395" s="6"/>
      <c r="G395" s="6"/>
      <c r="H395" s="74"/>
    </row>
    <row r="396" ht="16.5" customHeight="1">
      <c r="A396" s="6"/>
      <c r="B396" s="6"/>
      <c r="C396" s="6"/>
      <c r="D396" s="6"/>
      <c r="G396" s="6"/>
      <c r="H396" s="74"/>
    </row>
    <row r="397" ht="16.5" customHeight="1">
      <c r="A397" s="6"/>
      <c r="B397" s="6"/>
      <c r="C397" s="6"/>
      <c r="D397" s="6"/>
      <c r="G397" s="6"/>
      <c r="H397" s="74"/>
    </row>
    <row r="398" ht="16.5" customHeight="1">
      <c r="A398" s="6"/>
      <c r="B398" s="6"/>
      <c r="C398" s="6"/>
      <c r="D398" s="6"/>
      <c r="G398" s="6"/>
      <c r="H398" s="74"/>
    </row>
    <row r="399" ht="16.5" customHeight="1">
      <c r="A399" s="6"/>
      <c r="B399" s="6"/>
      <c r="C399" s="6"/>
      <c r="D399" s="6"/>
      <c r="G399" s="6"/>
      <c r="H399" s="74"/>
    </row>
    <row r="400" ht="16.5" customHeight="1">
      <c r="A400" s="6"/>
      <c r="B400" s="6"/>
      <c r="C400" s="6"/>
      <c r="D400" s="6"/>
      <c r="G400" s="6"/>
      <c r="H400" s="74"/>
    </row>
    <row r="401" ht="16.5" customHeight="1">
      <c r="A401" s="6"/>
      <c r="B401" s="6"/>
      <c r="C401" s="6"/>
      <c r="D401" s="6"/>
      <c r="G401" s="6"/>
      <c r="H401" s="74"/>
    </row>
    <row r="402" ht="16.5" customHeight="1">
      <c r="A402" s="6"/>
      <c r="B402" s="6"/>
      <c r="C402" s="6"/>
      <c r="D402" s="6"/>
      <c r="G402" s="6"/>
      <c r="H402" s="74"/>
    </row>
    <row r="403" ht="16.5" customHeight="1">
      <c r="A403" s="6"/>
      <c r="B403" s="6"/>
      <c r="C403" s="6"/>
      <c r="D403" s="6"/>
      <c r="G403" s="6"/>
      <c r="H403" s="74"/>
    </row>
    <row r="404" ht="16.5" customHeight="1">
      <c r="A404" s="6"/>
      <c r="B404" s="6"/>
      <c r="C404" s="6"/>
      <c r="D404" s="6"/>
      <c r="G404" s="6"/>
      <c r="H404" s="74"/>
    </row>
    <row r="405" ht="16.5" customHeight="1">
      <c r="A405" s="6"/>
      <c r="B405" s="6"/>
      <c r="C405" s="6"/>
      <c r="D405" s="6"/>
      <c r="G405" s="6"/>
      <c r="H405" s="74"/>
    </row>
    <row r="406" ht="16.5" customHeight="1">
      <c r="A406" s="6"/>
      <c r="B406" s="6"/>
      <c r="C406" s="6"/>
      <c r="D406" s="6"/>
      <c r="G406" s="6"/>
      <c r="H406" s="74"/>
    </row>
    <row r="407" ht="16.5" customHeight="1">
      <c r="A407" s="6"/>
      <c r="B407" s="6"/>
      <c r="C407" s="6"/>
      <c r="D407" s="6"/>
      <c r="G407" s="6"/>
      <c r="H407" s="74"/>
    </row>
    <row r="408" ht="16.5" customHeight="1">
      <c r="A408" s="6"/>
      <c r="B408" s="6"/>
      <c r="C408" s="6"/>
      <c r="D408" s="6"/>
      <c r="G408" s="6"/>
      <c r="H408" s="74"/>
    </row>
    <row r="409" ht="16.5" customHeight="1">
      <c r="A409" s="6"/>
      <c r="B409" s="6"/>
      <c r="C409" s="6"/>
      <c r="D409" s="6"/>
      <c r="G409" s="6"/>
      <c r="H409" s="74"/>
    </row>
    <row r="410" ht="16.5" customHeight="1">
      <c r="A410" s="6"/>
      <c r="B410" s="6"/>
      <c r="C410" s="6"/>
      <c r="D410" s="6"/>
      <c r="G410" s="6"/>
      <c r="H410" s="74"/>
    </row>
    <row r="411" ht="16.5" customHeight="1">
      <c r="A411" s="6"/>
      <c r="B411" s="6"/>
      <c r="C411" s="6"/>
      <c r="D411" s="6"/>
      <c r="G411" s="6"/>
      <c r="H411" s="74"/>
    </row>
    <row r="412" ht="16.5" customHeight="1">
      <c r="A412" s="6"/>
      <c r="B412" s="6"/>
      <c r="C412" s="6"/>
      <c r="D412" s="6"/>
      <c r="G412" s="6"/>
      <c r="H412" s="74"/>
    </row>
    <row r="413" ht="16.5" customHeight="1">
      <c r="A413" s="6"/>
      <c r="B413" s="6"/>
      <c r="C413" s="6"/>
      <c r="D413" s="6"/>
      <c r="G413" s="6"/>
      <c r="H413" s="74"/>
    </row>
    <row r="414" ht="16.5" customHeight="1">
      <c r="A414" s="6"/>
      <c r="B414" s="6"/>
      <c r="C414" s="6"/>
      <c r="D414" s="6"/>
      <c r="G414" s="6"/>
      <c r="H414" s="74"/>
    </row>
    <row r="415" ht="16.5" customHeight="1">
      <c r="A415" s="6"/>
      <c r="B415" s="6"/>
      <c r="C415" s="6"/>
      <c r="D415" s="6"/>
      <c r="G415" s="6"/>
      <c r="H415" s="74"/>
    </row>
    <row r="416" ht="16.5" customHeight="1">
      <c r="A416" s="6"/>
      <c r="B416" s="6"/>
      <c r="C416" s="6"/>
      <c r="D416" s="6"/>
      <c r="G416" s="6"/>
      <c r="H416" s="74"/>
    </row>
    <row r="417" ht="16.5" customHeight="1">
      <c r="A417" s="6"/>
      <c r="B417" s="6"/>
      <c r="C417" s="6"/>
      <c r="D417" s="6"/>
      <c r="G417" s="6"/>
      <c r="H417" s="74"/>
    </row>
    <row r="418" ht="16.5" customHeight="1">
      <c r="A418" s="6"/>
      <c r="B418" s="6"/>
      <c r="C418" s="6"/>
      <c r="D418" s="6"/>
      <c r="G418" s="6"/>
      <c r="H418" s="74"/>
    </row>
    <row r="419" ht="16.5" customHeight="1">
      <c r="A419" s="6"/>
      <c r="B419" s="6"/>
      <c r="C419" s="6"/>
      <c r="D419" s="6"/>
      <c r="G419" s="6"/>
      <c r="H419" s="74"/>
    </row>
    <row r="420" ht="16.5" customHeight="1">
      <c r="A420" s="6"/>
      <c r="B420" s="6"/>
      <c r="C420" s="6"/>
      <c r="D420" s="6"/>
      <c r="G420" s="6"/>
      <c r="H420" s="74"/>
    </row>
    <row r="421" ht="16.5" customHeight="1">
      <c r="A421" s="6"/>
      <c r="B421" s="6"/>
      <c r="C421" s="6"/>
      <c r="D421" s="6"/>
      <c r="G421" s="6"/>
      <c r="H421" s="74"/>
    </row>
    <row r="422" ht="16.5" customHeight="1">
      <c r="A422" s="6"/>
      <c r="B422" s="6"/>
      <c r="C422" s="6"/>
      <c r="D422" s="6"/>
      <c r="G422" s="6"/>
      <c r="H422" s="74"/>
    </row>
    <row r="423" ht="16.5" customHeight="1">
      <c r="A423" s="6"/>
      <c r="B423" s="6"/>
      <c r="C423" s="6"/>
      <c r="D423" s="6"/>
      <c r="G423" s="6"/>
      <c r="H423" s="74"/>
    </row>
    <row r="424" ht="16.5" customHeight="1">
      <c r="A424" s="6"/>
      <c r="B424" s="6"/>
      <c r="C424" s="6"/>
      <c r="D424" s="6"/>
      <c r="G424" s="6"/>
      <c r="H424" s="74"/>
    </row>
    <row r="425" ht="16.5" customHeight="1">
      <c r="A425" s="6"/>
      <c r="B425" s="6"/>
      <c r="C425" s="6"/>
      <c r="D425" s="6"/>
      <c r="G425" s="6"/>
      <c r="H425" s="74"/>
    </row>
    <row r="426" ht="16.5" customHeight="1">
      <c r="A426" s="6"/>
      <c r="B426" s="6"/>
      <c r="C426" s="6"/>
      <c r="D426" s="6"/>
      <c r="G426" s="6"/>
      <c r="H426" s="74"/>
    </row>
    <row r="427" ht="16.5" customHeight="1">
      <c r="A427" s="6"/>
      <c r="B427" s="6"/>
      <c r="C427" s="6"/>
      <c r="D427" s="6"/>
      <c r="G427" s="6"/>
      <c r="H427" s="74"/>
    </row>
    <row r="428" ht="16.5" customHeight="1">
      <c r="A428" s="6"/>
      <c r="B428" s="6"/>
      <c r="C428" s="6"/>
      <c r="D428" s="6"/>
      <c r="G428" s="6"/>
      <c r="H428" s="74"/>
    </row>
    <row r="429" ht="16.5" customHeight="1">
      <c r="A429" s="6"/>
      <c r="B429" s="6"/>
      <c r="C429" s="6"/>
      <c r="D429" s="6"/>
      <c r="G429" s="6"/>
      <c r="H429" s="74"/>
    </row>
    <row r="430" ht="16.5" customHeight="1">
      <c r="A430" s="6"/>
      <c r="B430" s="6"/>
      <c r="C430" s="6"/>
      <c r="D430" s="6"/>
      <c r="G430" s="6"/>
      <c r="H430" s="74"/>
    </row>
    <row r="431" ht="16.5" customHeight="1">
      <c r="A431" s="6"/>
      <c r="B431" s="6"/>
      <c r="C431" s="6"/>
      <c r="D431" s="6"/>
      <c r="G431" s="6"/>
      <c r="H431" s="74"/>
    </row>
    <row r="432" ht="16.5" customHeight="1">
      <c r="A432" s="6"/>
      <c r="B432" s="6"/>
      <c r="C432" s="6"/>
      <c r="D432" s="6"/>
      <c r="G432" s="6"/>
      <c r="H432" s="74"/>
    </row>
    <row r="433" ht="16.5" customHeight="1">
      <c r="A433" s="6"/>
      <c r="B433" s="6"/>
      <c r="C433" s="6"/>
      <c r="D433" s="6"/>
      <c r="G433" s="6"/>
      <c r="H433" s="74"/>
    </row>
    <row r="434" ht="16.5" customHeight="1">
      <c r="A434" s="6"/>
      <c r="B434" s="6"/>
      <c r="C434" s="6"/>
      <c r="D434" s="6"/>
      <c r="G434" s="6"/>
      <c r="H434" s="74"/>
    </row>
    <row r="435" ht="16.5" customHeight="1">
      <c r="A435" s="6"/>
      <c r="B435" s="6"/>
      <c r="C435" s="6"/>
      <c r="D435" s="6"/>
      <c r="G435" s="6"/>
      <c r="H435" s="74"/>
    </row>
    <row r="436" ht="16.5" customHeight="1">
      <c r="A436" s="6"/>
      <c r="B436" s="6"/>
      <c r="C436" s="6"/>
      <c r="D436" s="6"/>
      <c r="G436" s="6"/>
      <c r="H436" s="74"/>
    </row>
    <row r="437" ht="16.5" customHeight="1">
      <c r="A437" s="6"/>
      <c r="B437" s="6"/>
      <c r="C437" s="6"/>
      <c r="D437" s="6"/>
      <c r="G437" s="6"/>
      <c r="H437" s="74"/>
    </row>
    <row r="438" ht="16.5" customHeight="1">
      <c r="A438" s="6"/>
      <c r="B438" s="6"/>
      <c r="C438" s="6"/>
      <c r="D438" s="6"/>
      <c r="G438" s="6"/>
      <c r="H438" s="74"/>
    </row>
    <row r="439" ht="16.5" customHeight="1">
      <c r="A439" s="6"/>
      <c r="B439" s="6"/>
      <c r="C439" s="6"/>
      <c r="D439" s="6"/>
      <c r="G439" s="6"/>
      <c r="H439" s="74"/>
    </row>
    <row r="440" ht="16.5" customHeight="1">
      <c r="A440" s="6"/>
      <c r="B440" s="6"/>
      <c r="C440" s="6"/>
      <c r="D440" s="6"/>
      <c r="G440" s="6"/>
      <c r="H440" s="74"/>
    </row>
    <row r="441" ht="16.5" customHeight="1">
      <c r="A441" s="6"/>
      <c r="B441" s="6"/>
      <c r="C441" s="6"/>
      <c r="D441" s="6"/>
      <c r="G441" s="6"/>
      <c r="H441" s="74"/>
    </row>
    <row r="442" ht="16.5" customHeight="1">
      <c r="A442" s="6"/>
      <c r="B442" s="6"/>
      <c r="C442" s="6"/>
      <c r="D442" s="6"/>
      <c r="G442" s="6"/>
      <c r="H442" s="74"/>
    </row>
    <row r="443" ht="16.5" customHeight="1">
      <c r="A443" s="6"/>
      <c r="B443" s="6"/>
      <c r="C443" s="6"/>
      <c r="D443" s="6"/>
      <c r="G443" s="6"/>
      <c r="H443" s="74"/>
    </row>
    <row r="444" ht="16.5" customHeight="1">
      <c r="A444" s="6"/>
      <c r="B444" s="6"/>
      <c r="C444" s="6"/>
      <c r="D444" s="6"/>
      <c r="G444" s="6"/>
      <c r="H444" s="74"/>
    </row>
    <row r="445" ht="16.5" customHeight="1">
      <c r="A445" s="6"/>
      <c r="B445" s="6"/>
      <c r="C445" s="6"/>
      <c r="D445" s="6"/>
      <c r="G445" s="6"/>
      <c r="H445" s="74"/>
    </row>
    <row r="446" ht="16.5" customHeight="1">
      <c r="A446" s="6"/>
      <c r="B446" s="6"/>
      <c r="C446" s="6"/>
      <c r="D446" s="6"/>
      <c r="G446" s="6"/>
      <c r="H446" s="74"/>
    </row>
    <row r="447" ht="16.5" customHeight="1">
      <c r="A447" s="6"/>
      <c r="B447" s="6"/>
      <c r="C447" s="6"/>
      <c r="D447" s="6"/>
      <c r="G447" s="6"/>
      <c r="H447" s="74"/>
    </row>
    <row r="448" ht="16.5" customHeight="1">
      <c r="A448" s="6"/>
      <c r="B448" s="6"/>
      <c r="C448" s="6"/>
      <c r="D448" s="6"/>
      <c r="G448" s="6"/>
      <c r="H448" s="74"/>
    </row>
    <row r="449" ht="16.5" customHeight="1">
      <c r="A449" s="6"/>
      <c r="B449" s="6"/>
      <c r="C449" s="6"/>
      <c r="D449" s="6"/>
      <c r="G449" s="6"/>
      <c r="H449" s="74"/>
    </row>
    <row r="450" ht="16.5" customHeight="1">
      <c r="A450" s="6"/>
      <c r="B450" s="6"/>
      <c r="C450" s="6"/>
      <c r="D450" s="6"/>
      <c r="G450" s="6"/>
      <c r="H450" s="74"/>
    </row>
    <row r="451" ht="16.5" customHeight="1">
      <c r="A451" s="6"/>
      <c r="B451" s="6"/>
      <c r="C451" s="6"/>
      <c r="D451" s="6"/>
      <c r="G451" s="6"/>
      <c r="H451" s="74"/>
    </row>
    <row r="452" ht="16.5" customHeight="1">
      <c r="A452" s="6"/>
      <c r="B452" s="6"/>
      <c r="C452" s="6"/>
      <c r="D452" s="6"/>
      <c r="G452" s="6"/>
      <c r="H452" s="74"/>
    </row>
    <row r="453" ht="16.5" customHeight="1">
      <c r="A453" s="6"/>
      <c r="B453" s="6"/>
      <c r="C453" s="6"/>
      <c r="D453" s="6"/>
      <c r="G453" s="6"/>
      <c r="H453" s="74"/>
    </row>
    <row r="454" ht="16.5" customHeight="1">
      <c r="A454" s="6"/>
      <c r="B454" s="6"/>
      <c r="C454" s="6"/>
      <c r="D454" s="6"/>
      <c r="G454" s="6"/>
      <c r="H454" s="74"/>
    </row>
    <row r="455" ht="16.5" customHeight="1">
      <c r="A455" s="6"/>
      <c r="B455" s="6"/>
      <c r="C455" s="6"/>
      <c r="D455" s="6"/>
      <c r="G455" s="6"/>
      <c r="H455" s="74"/>
    </row>
    <row r="456" ht="16.5" customHeight="1">
      <c r="A456" s="6"/>
      <c r="B456" s="6"/>
      <c r="C456" s="6"/>
      <c r="D456" s="6"/>
      <c r="G456" s="6"/>
      <c r="H456" s="74"/>
    </row>
    <row r="457" ht="16.5" customHeight="1">
      <c r="A457" s="6"/>
      <c r="B457" s="6"/>
      <c r="C457" s="6"/>
      <c r="D457" s="6"/>
      <c r="G457" s="6"/>
      <c r="H457" s="74"/>
    </row>
    <row r="458" ht="16.5" customHeight="1">
      <c r="A458" s="6"/>
      <c r="B458" s="6"/>
      <c r="C458" s="6"/>
      <c r="D458" s="6"/>
      <c r="G458" s="6"/>
      <c r="H458" s="74"/>
    </row>
    <row r="459" ht="16.5" customHeight="1">
      <c r="A459" s="6"/>
      <c r="B459" s="6"/>
      <c r="C459" s="6"/>
      <c r="D459" s="6"/>
      <c r="G459" s="6"/>
      <c r="H459" s="74"/>
    </row>
    <row r="460" ht="16.5" customHeight="1">
      <c r="A460" s="6"/>
      <c r="B460" s="6"/>
      <c r="C460" s="6"/>
      <c r="D460" s="6"/>
      <c r="G460" s="6"/>
      <c r="H460" s="74"/>
    </row>
    <row r="461" ht="16.5" customHeight="1">
      <c r="A461" s="6"/>
      <c r="B461" s="6"/>
      <c r="C461" s="6"/>
      <c r="D461" s="6"/>
      <c r="G461" s="6"/>
      <c r="H461" s="74"/>
    </row>
    <row r="462" ht="16.5" customHeight="1">
      <c r="A462" s="6"/>
      <c r="B462" s="6"/>
      <c r="C462" s="6"/>
      <c r="D462" s="6"/>
      <c r="G462" s="6"/>
      <c r="H462" s="74"/>
    </row>
    <row r="463" ht="16.5" customHeight="1">
      <c r="A463" s="6"/>
      <c r="B463" s="6"/>
      <c r="C463" s="6"/>
      <c r="D463" s="6"/>
      <c r="G463" s="6"/>
      <c r="H463" s="74"/>
    </row>
    <row r="464" ht="16.5" customHeight="1">
      <c r="A464" s="6"/>
      <c r="B464" s="6"/>
      <c r="C464" s="6"/>
      <c r="D464" s="6"/>
      <c r="G464" s="6"/>
      <c r="H464" s="74"/>
    </row>
    <row r="465" ht="16.5" customHeight="1">
      <c r="A465" s="6"/>
      <c r="B465" s="6"/>
      <c r="C465" s="6"/>
      <c r="D465" s="6"/>
      <c r="G465" s="6"/>
      <c r="H465" s="74"/>
    </row>
    <row r="466" ht="16.5" customHeight="1">
      <c r="A466" s="6"/>
      <c r="B466" s="6"/>
      <c r="C466" s="6"/>
      <c r="D466" s="6"/>
      <c r="G466" s="6"/>
      <c r="H466" s="74"/>
    </row>
    <row r="467" ht="16.5" customHeight="1">
      <c r="A467" s="6"/>
      <c r="B467" s="6"/>
      <c r="C467" s="6"/>
      <c r="D467" s="6"/>
      <c r="G467" s="6"/>
      <c r="H467" s="74"/>
    </row>
    <row r="468" ht="16.5" customHeight="1">
      <c r="A468" s="6"/>
      <c r="B468" s="6"/>
      <c r="C468" s="6"/>
      <c r="D468" s="6"/>
      <c r="G468" s="6"/>
      <c r="H468" s="74"/>
    </row>
    <row r="469" ht="16.5" customHeight="1">
      <c r="A469" s="6"/>
      <c r="B469" s="6"/>
      <c r="C469" s="6"/>
      <c r="D469" s="6"/>
      <c r="G469" s="6"/>
      <c r="H469" s="74"/>
    </row>
    <row r="470" ht="16.5" customHeight="1">
      <c r="A470" s="6"/>
      <c r="B470" s="6"/>
      <c r="C470" s="6"/>
      <c r="D470" s="6"/>
      <c r="G470" s="6"/>
      <c r="H470" s="74"/>
    </row>
    <row r="471" ht="16.5" customHeight="1">
      <c r="A471" s="6"/>
      <c r="B471" s="6"/>
      <c r="C471" s="6"/>
      <c r="D471" s="6"/>
      <c r="G471" s="6"/>
      <c r="H471" s="74"/>
    </row>
    <row r="472" ht="16.5" customHeight="1">
      <c r="A472" s="6"/>
      <c r="B472" s="6"/>
      <c r="C472" s="6"/>
      <c r="D472" s="6"/>
      <c r="G472" s="6"/>
      <c r="H472" s="74"/>
    </row>
    <row r="473" ht="16.5" customHeight="1">
      <c r="A473" s="6"/>
      <c r="B473" s="6"/>
      <c r="C473" s="6"/>
      <c r="D473" s="6"/>
      <c r="G473" s="6"/>
      <c r="H473" s="74"/>
    </row>
    <row r="474" ht="16.5" customHeight="1">
      <c r="A474" s="6"/>
      <c r="B474" s="6"/>
      <c r="C474" s="6"/>
      <c r="D474" s="6"/>
      <c r="G474" s="6"/>
      <c r="H474" s="74"/>
    </row>
    <row r="475" ht="16.5" customHeight="1">
      <c r="A475" s="6"/>
      <c r="B475" s="6"/>
      <c r="C475" s="6"/>
      <c r="D475" s="6"/>
      <c r="G475" s="6"/>
      <c r="H475" s="74"/>
    </row>
    <row r="476" ht="16.5" customHeight="1">
      <c r="A476" s="6"/>
      <c r="B476" s="6"/>
      <c r="C476" s="6"/>
      <c r="D476" s="6"/>
      <c r="G476" s="6"/>
      <c r="H476" s="74"/>
    </row>
    <row r="477" ht="16.5" customHeight="1">
      <c r="A477" s="6"/>
      <c r="B477" s="6"/>
      <c r="C477" s="6"/>
      <c r="D477" s="6"/>
      <c r="G477" s="6"/>
      <c r="H477" s="74"/>
    </row>
    <row r="478" ht="16.5" customHeight="1">
      <c r="A478" s="6"/>
      <c r="B478" s="6"/>
      <c r="C478" s="6"/>
      <c r="D478" s="6"/>
      <c r="G478" s="6"/>
      <c r="H478" s="74"/>
    </row>
    <row r="479" ht="16.5" customHeight="1">
      <c r="A479" s="6"/>
      <c r="B479" s="6"/>
      <c r="C479" s="6"/>
      <c r="D479" s="6"/>
      <c r="G479" s="6"/>
      <c r="H479" s="74"/>
    </row>
    <row r="480" ht="16.5" customHeight="1">
      <c r="A480" s="6"/>
      <c r="B480" s="6"/>
      <c r="C480" s="6"/>
      <c r="D480" s="6"/>
      <c r="G480" s="6"/>
      <c r="H480" s="74"/>
    </row>
    <row r="481" ht="16.5" customHeight="1">
      <c r="A481" s="6"/>
      <c r="B481" s="6"/>
      <c r="C481" s="6"/>
      <c r="D481" s="6"/>
      <c r="G481" s="6"/>
      <c r="H481" s="74"/>
    </row>
    <row r="482" ht="16.5" customHeight="1">
      <c r="A482" s="6"/>
      <c r="B482" s="6"/>
      <c r="C482" s="6"/>
      <c r="D482" s="6"/>
      <c r="G482" s="6"/>
      <c r="H482" s="74"/>
    </row>
    <row r="483" ht="16.5" customHeight="1">
      <c r="A483" s="6"/>
      <c r="B483" s="6"/>
      <c r="C483" s="6"/>
      <c r="D483" s="6"/>
      <c r="G483" s="6"/>
      <c r="H483" s="74"/>
    </row>
    <row r="484" ht="16.5" customHeight="1">
      <c r="A484" s="6"/>
      <c r="B484" s="6"/>
      <c r="C484" s="6"/>
      <c r="D484" s="6"/>
      <c r="G484" s="6"/>
      <c r="H484" s="74"/>
    </row>
    <row r="485" ht="16.5" customHeight="1">
      <c r="A485" s="6"/>
      <c r="B485" s="6"/>
      <c r="C485" s="6"/>
      <c r="D485" s="6"/>
      <c r="G485" s="6"/>
      <c r="H485" s="74"/>
    </row>
    <row r="486" ht="16.5" customHeight="1">
      <c r="A486" s="6"/>
      <c r="B486" s="6"/>
      <c r="C486" s="6"/>
      <c r="D486" s="6"/>
      <c r="G486" s="6"/>
      <c r="H486" s="74"/>
    </row>
    <row r="487" ht="16.5" customHeight="1">
      <c r="A487" s="6"/>
      <c r="B487" s="6"/>
      <c r="C487" s="6"/>
      <c r="D487" s="6"/>
      <c r="G487" s="6"/>
      <c r="H487" s="74"/>
    </row>
    <row r="488" ht="16.5" customHeight="1">
      <c r="A488" s="6"/>
      <c r="B488" s="6"/>
      <c r="C488" s="6"/>
      <c r="D488" s="6"/>
      <c r="G488" s="6"/>
      <c r="H488" s="74"/>
    </row>
    <row r="489" ht="16.5" customHeight="1">
      <c r="A489" s="6"/>
      <c r="B489" s="6"/>
      <c r="C489" s="6"/>
      <c r="D489" s="6"/>
      <c r="G489" s="6"/>
      <c r="H489" s="74"/>
    </row>
    <row r="490" ht="16.5" customHeight="1">
      <c r="A490" s="6"/>
      <c r="B490" s="6"/>
      <c r="C490" s="6"/>
      <c r="D490" s="6"/>
      <c r="G490" s="6"/>
      <c r="H490" s="74"/>
    </row>
    <row r="491" ht="16.5" customHeight="1">
      <c r="A491" s="6"/>
      <c r="B491" s="6"/>
      <c r="C491" s="6"/>
      <c r="D491" s="6"/>
      <c r="G491" s="6"/>
      <c r="H491" s="74"/>
    </row>
    <row r="492" ht="16.5" customHeight="1">
      <c r="A492" s="6"/>
      <c r="B492" s="6"/>
      <c r="C492" s="6"/>
      <c r="D492" s="6"/>
      <c r="G492" s="6"/>
      <c r="H492" s="74"/>
    </row>
    <row r="493" ht="16.5" customHeight="1">
      <c r="A493" s="6"/>
      <c r="B493" s="6"/>
      <c r="C493" s="6"/>
      <c r="D493" s="6"/>
      <c r="G493" s="6"/>
      <c r="H493" s="74"/>
    </row>
    <row r="494" ht="16.5" customHeight="1">
      <c r="A494" s="6"/>
      <c r="B494" s="6"/>
      <c r="C494" s="6"/>
      <c r="D494" s="6"/>
      <c r="G494" s="6"/>
      <c r="H494" s="74"/>
    </row>
    <row r="495" ht="16.5" customHeight="1">
      <c r="A495" s="6"/>
      <c r="B495" s="6"/>
      <c r="C495" s="6"/>
      <c r="D495" s="6"/>
      <c r="G495" s="6"/>
      <c r="H495" s="74"/>
    </row>
    <row r="496" ht="16.5" customHeight="1">
      <c r="A496" s="6"/>
      <c r="B496" s="6"/>
      <c r="C496" s="6"/>
      <c r="D496" s="6"/>
      <c r="G496" s="6"/>
      <c r="H496" s="74"/>
    </row>
    <row r="497" ht="16.5" customHeight="1">
      <c r="A497" s="6"/>
      <c r="B497" s="6"/>
      <c r="C497" s="6"/>
      <c r="D497" s="6"/>
      <c r="G497" s="6"/>
      <c r="H497" s="74"/>
    </row>
    <row r="498" ht="16.5" customHeight="1">
      <c r="A498" s="6"/>
      <c r="B498" s="6"/>
      <c r="C498" s="6"/>
      <c r="D498" s="6"/>
      <c r="G498" s="6"/>
      <c r="H498" s="74"/>
    </row>
    <row r="499" ht="16.5" customHeight="1">
      <c r="A499" s="6"/>
      <c r="B499" s="6"/>
      <c r="C499" s="6"/>
      <c r="D499" s="6"/>
      <c r="G499" s="6"/>
      <c r="H499" s="74"/>
    </row>
    <row r="500" ht="16.5" customHeight="1">
      <c r="A500" s="6"/>
      <c r="B500" s="6"/>
      <c r="C500" s="6"/>
      <c r="D500" s="6"/>
      <c r="G500" s="6"/>
      <c r="H500" s="74"/>
    </row>
    <row r="501" ht="16.5" customHeight="1">
      <c r="A501" s="6"/>
      <c r="B501" s="6"/>
      <c r="C501" s="6"/>
      <c r="D501" s="6"/>
      <c r="G501" s="6"/>
      <c r="H501" s="74"/>
    </row>
    <row r="502" ht="16.5" customHeight="1">
      <c r="A502" s="6"/>
      <c r="B502" s="6"/>
      <c r="C502" s="6"/>
      <c r="D502" s="6"/>
      <c r="G502" s="6"/>
      <c r="H502" s="74"/>
    </row>
    <row r="503" ht="16.5" customHeight="1">
      <c r="A503" s="6"/>
      <c r="B503" s="6"/>
      <c r="C503" s="6"/>
      <c r="D503" s="6"/>
      <c r="G503" s="6"/>
      <c r="H503" s="74"/>
    </row>
    <row r="504" ht="16.5" customHeight="1">
      <c r="A504" s="6"/>
      <c r="B504" s="6"/>
      <c r="C504" s="6"/>
      <c r="D504" s="6"/>
      <c r="G504" s="6"/>
      <c r="H504" s="74"/>
    </row>
    <row r="505" ht="16.5" customHeight="1">
      <c r="A505" s="6"/>
      <c r="B505" s="6"/>
      <c r="C505" s="6"/>
      <c r="D505" s="6"/>
      <c r="G505" s="6"/>
      <c r="H505" s="74"/>
    </row>
    <row r="506" ht="16.5" customHeight="1">
      <c r="A506" s="6"/>
      <c r="B506" s="6"/>
      <c r="C506" s="6"/>
      <c r="D506" s="6"/>
      <c r="G506" s="6"/>
      <c r="H506" s="74"/>
    </row>
    <row r="507" ht="16.5" customHeight="1">
      <c r="A507" s="6"/>
      <c r="B507" s="6"/>
      <c r="C507" s="6"/>
      <c r="D507" s="6"/>
      <c r="G507" s="6"/>
      <c r="H507" s="74"/>
    </row>
    <row r="508" ht="16.5" customHeight="1">
      <c r="A508" s="6"/>
      <c r="B508" s="6"/>
      <c r="C508" s="6"/>
      <c r="D508" s="6"/>
      <c r="G508" s="6"/>
      <c r="H508" s="74"/>
    </row>
    <row r="509" ht="16.5" customHeight="1">
      <c r="A509" s="6"/>
      <c r="B509" s="6"/>
      <c r="C509" s="6"/>
      <c r="D509" s="6"/>
      <c r="G509" s="6"/>
      <c r="H509" s="74"/>
    </row>
    <row r="510" ht="16.5" customHeight="1">
      <c r="A510" s="6"/>
      <c r="B510" s="6"/>
      <c r="C510" s="6"/>
      <c r="D510" s="6"/>
      <c r="G510" s="6"/>
      <c r="H510" s="74"/>
    </row>
    <row r="511" ht="16.5" customHeight="1">
      <c r="A511" s="6"/>
      <c r="B511" s="6"/>
      <c r="C511" s="6"/>
      <c r="D511" s="6"/>
      <c r="G511" s="6"/>
      <c r="H511" s="74"/>
    </row>
    <row r="512" ht="16.5" customHeight="1">
      <c r="A512" s="6"/>
      <c r="B512" s="6"/>
      <c r="C512" s="6"/>
      <c r="D512" s="6"/>
      <c r="G512" s="6"/>
      <c r="H512" s="74"/>
    </row>
    <row r="513" ht="16.5" customHeight="1">
      <c r="A513" s="6"/>
      <c r="B513" s="6"/>
      <c r="C513" s="6"/>
      <c r="D513" s="6"/>
      <c r="G513" s="6"/>
      <c r="H513" s="74"/>
    </row>
    <row r="514" ht="16.5" customHeight="1">
      <c r="A514" s="6"/>
      <c r="B514" s="6"/>
      <c r="C514" s="6"/>
      <c r="D514" s="6"/>
      <c r="G514" s="6"/>
      <c r="H514" s="74"/>
    </row>
    <row r="515" ht="16.5" customHeight="1">
      <c r="A515" s="6"/>
      <c r="B515" s="6"/>
      <c r="C515" s="6"/>
      <c r="D515" s="6"/>
      <c r="G515" s="6"/>
      <c r="H515" s="74"/>
    </row>
    <row r="516" ht="16.5" customHeight="1">
      <c r="A516" s="6"/>
      <c r="B516" s="6"/>
      <c r="C516" s="6"/>
      <c r="D516" s="6"/>
      <c r="G516" s="6"/>
      <c r="H516" s="74"/>
    </row>
    <row r="517" ht="16.5" customHeight="1">
      <c r="A517" s="6"/>
      <c r="B517" s="6"/>
      <c r="C517" s="6"/>
      <c r="D517" s="6"/>
      <c r="G517" s="6"/>
      <c r="H517" s="74"/>
    </row>
    <row r="518" ht="16.5" customHeight="1">
      <c r="A518" s="6"/>
      <c r="B518" s="6"/>
      <c r="C518" s="6"/>
      <c r="D518" s="6"/>
      <c r="G518" s="6"/>
      <c r="H518" s="74"/>
    </row>
    <row r="519" ht="16.5" customHeight="1">
      <c r="A519" s="6"/>
      <c r="B519" s="6"/>
      <c r="C519" s="6"/>
      <c r="D519" s="6"/>
      <c r="G519" s="6"/>
      <c r="H519" s="74"/>
    </row>
    <row r="520" ht="16.5" customHeight="1">
      <c r="A520" s="6"/>
      <c r="B520" s="6"/>
      <c r="C520" s="6"/>
      <c r="D520" s="6"/>
      <c r="G520" s="6"/>
      <c r="H520" s="74"/>
    </row>
    <row r="521" ht="16.5" customHeight="1">
      <c r="A521" s="6"/>
      <c r="B521" s="6"/>
      <c r="C521" s="6"/>
      <c r="D521" s="6"/>
      <c r="G521" s="6"/>
      <c r="H521" s="74"/>
    </row>
    <row r="522" ht="16.5" customHeight="1">
      <c r="A522" s="6"/>
      <c r="B522" s="6"/>
      <c r="C522" s="6"/>
      <c r="D522" s="6"/>
      <c r="G522" s="6"/>
      <c r="H522" s="74"/>
    </row>
    <row r="523" ht="16.5" customHeight="1">
      <c r="A523" s="6"/>
      <c r="B523" s="6"/>
      <c r="C523" s="6"/>
      <c r="D523" s="6"/>
      <c r="G523" s="6"/>
      <c r="H523" s="74"/>
    </row>
    <row r="524" ht="16.5" customHeight="1">
      <c r="A524" s="6"/>
      <c r="B524" s="6"/>
      <c r="C524" s="6"/>
      <c r="D524" s="6"/>
      <c r="G524" s="6"/>
      <c r="H524" s="74"/>
    </row>
    <row r="525" ht="16.5" customHeight="1">
      <c r="A525" s="6"/>
      <c r="B525" s="6"/>
      <c r="C525" s="6"/>
      <c r="D525" s="6"/>
      <c r="G525" s="6"/>
      <c r="H525" s="74"/>
    </row>
    <row r="526" ht="16.5" customHeight="1">
      <c r="A526" s="6"/>
      <c r="B526" s="6"/>
      <c r="C526" s="6"/>
      <c r="D526" s="6"/>
      <c r="G526" s="6"/>
      <c r="H526" s="74"/>
    </row>
    <row r="527" ht="16.5" customHeight="1">
      <c r="A527" s="6"/>
      <c r="B527" s="6"/>
      <c r="C527" s="6"/>
      <c r="D527" s="6"/>
      <c r="G527" s="6"/>
      <c r="H527" s="74"/>
    </row>
    <row r="528" ht="16.5" customHeight="1">
      <c r="A528" s="6"/>
      <c r="B528" s="6"/>
      <c r="C528" s="6"/>
      <c r="D528" s="6"/>
      <c r="G528" s="6"/>
      <c r="H528" s="74"/>
    </row>
    <row r="529" ht="16.5" customHeight="1">
      <c r="A529" s="6"/>
      <c r="B529" s="6"/>
      <c r="C529" s="6"/>
      <c r="D529" s="6"/>
      <c r="G529" s="6"/>
      <c r="H529" s="74"/>
    </row>
    <row r="530" ht="16.5" customHeight="1">
      <c r="A530" s="6"/>
      <c r="B530" s="6"/>
      <c r="C530" s="6"/>
      <c r="D530" s="6"/>
      <c r="G530" s="6"/>
      <c r="H530" s="74"/>
    </row>
    <row r="531" ht="16.5" customHeight="1">
      <c r="A531" s="6"/>
      <c r="B531" s="6"/>
      <c r="C531" s="6"/>
      <c r="D531" s="6"/>
      <c r="G531" s="6"/>
      <c r="H531" s="74"/>
    </row>
    <row r="532" ht="16.5" customHeight="1">
      <c r="A532" s="6"/>
      <c r="B532" s="6"/>
      <c r="C532" s="6"/>
      <c r="D532" s="6"/>
      <c r="G532" s="6"/>
      <c r="H532" s="74"/>
    </row>
    <row r="533" ht="16.5" customHeight="1">
      <c r="A533" s="6"/>
      <c r="B533" s="6"/>
      <c r="C533" s="6"/>
      <c r="D533" s="6"/>
      <c r="G533" s="6"/>
      <c r="H533" s="74"/>
    </row>
    <row r="534" ht="16.5" customHeight="1">
      <c r="A534" s="6"/>
      <c r="B534" s="6"/>
      <c r="C534" s="6"/>
      <c r="D534" s="6"/>
      <c r="G534" s="6"/>
      <c r="H534" s="74"/>
    </row>
    <row r="535" ht="16.5" customHeight="1">
      <c r="A535" s="6"/>
      <c r="B535" s="6"/>
      <c r="C535" s="6"/>
      <c r="D535" s="6"/>
      <c r="G535" s="6"/>
      <c r="H535" s="74"/>
    </row>
    <row r="536" ht="16.5" customHeight="1">
      <c r="A536" s="6"/>
      <c r="B536" s="6"/>
      <c r="C536" s="6"/>
      <c r="D536" s="6"/>
      <c r="G536" s="6"/>
      <c r="H536" s="74"/>
    </row>
    <row r="537" ht="16.5" customHeight="1">
      <c r="A537" s="6"/>
      <c r="B537" s="6"/>
      <c r="C537" s="6"/>
      <c r="D537" s="6"/>
      <c r="G537" s="6"/>
      <c r="H537" s="74"/>
    </row>
    <row r="538" ht="16.5" customHeight="1">
      <c r="A538" s="6"/>
      <c r="B538" s="6"/>
      <c r="C538" s="6"/>
      <c r="D538" s="6"/>
      <c r="G538" s="6"/>
      <c r="H538" s="74"/>
    </row>
    <row r="539" ht="16.5" customHeight="1">
      <c r="A539" s="6"/>
      <c r="B539" s="6"/>
      <c r="C539" s="6"/>
      <c r="D539" s="6"/>
      <c r="G539" s="6"/>
      <c r="H539" s="74"/>
    </row>
    <row r="540" ht="16.5" customHeight="1">
      <c r="A540" s="6"/>
      <c r="B540" s="6"/>
      <c r="C540" s="6"/>
      <c r="D540" s="6"/>
      <c r="G540" s="6"/>
      <c r="H540" s="74"/>
    </row>
    <row r="541" ht="16.5" customHeight="1">
      <c r="A541" s="6"/>
      <c r="B541" s="6"/>
      <c r="C541" s="6"/>
      <c r="D541" s="6"/>
      <c r="G541" s="6"/>
      <c r="H541" s="74"/>
    </row>
    <row r="542" ht="16.5" customHeight="1">
      <c r="A542" s="6"/>
      <c r="B542" s="6"/>
      <c r="C542" s="6"/>
      <c r="D542" s="6"/>
      <c r="G542" s="6"/>
      <c r="H542" s="74"/>
    </row>
    <row r="543" ht="16.5" customHeight="1">
      <c r="A543" s="6"/>
      <c r="B543" s="6"/>
      <c r="C543" s="6"/>
      <c r="D543" s="6"/>
      <c r="G543" s="6"/>
      <c r="H543" s="74"/>
    </row>
    <row r="544" ht="16.5" customHeight="1">
      <c r="A544" s="6"/>
      <c r="B544" s="6"/>
      <c r="C544" s="6"/>
      <c r="D544" s="6"/>
      <c r="G544" s="6"/>
      <c r="H544" s="74"/>
    </row>
    <row r="545" ht="16.5" customHeight="1">
      <c r="A545" s="6"/>
      <c r="B545" s="6"/>
      <c r="C545" s="6"/>
      <c r="D545" s="6"/>
      <c r="G545" s="6"/>
      <c r="H545" s="74"/>
    </row>
    <row r="546" ht="16.5" customHeight="1">
      <c r="A546" s="6"/>
      <c r="B546" s="6"/>
      <c r="C546" s="6"/>
      <c r="D546" s="6"/>
      <c r="G546" s="6"/>
      <c r="H546" s="74"/>
    </row>
    <row r="547" ht="16.5" customHeight="1">
      <c r="A547" s="6"/>
      <c r="B547" s="6"/>
      <c r="C547" s="6"/>
      <c r="D547" s="6"/>
      <c r="G547" s="6"/>
      <c r="H547" s="74"/>
    </row>
    <row r="548" ht="16.5" customHeight="1">
      <c r="A548" s="6"/>
      <c r="B548" s="6"/>
      <c r="C548" s="6"/>
      <c r="D548" s="6"/>
      <c r="G548" s="6"/>
      <c r="H548" s="74"/>
    </row>
    <row r="549" ht="16.5" customHeight="1">
      <c r="A549" s="6"/>
      <c r="B549" s="6"/>
      <c r="C549" s="6"/>
      <c r="D549" s="6"/>
      <c r="G549" s="6"/>
      <c r="H549" s="74"/>
    </row>
    <row r="550" ht="16.5" customHeight="1">
      <c r="A550" s="6"/>
      <c r="B550" s="6"/>
      <c r="C550" s="6"/>
      <c r="D550" s="6"/>
      <c r="G550" s="6"/>
      <c r="H550" s="74"/>
    </row>
    <row r="551" ht="16.5" customHeight="1">
      <c r="A551" s="6"/>
      <c r="B551" s="6"/>
      <c r="C551" s="6"/>
      <c r="D551" s="6"/>
      <c r="G551" s="6"/>
      <c r="H551" s="74"/>
    </row>
    <row r="552" ht="16.5" customHeight="1">
      <c r="A552" s="6"/>
      <c r="B552" s="6"/>
      <c r="C552" s="6"/>
      <c r="D552" s="6"/>
      <c r="G552" s="6"/>
      <c r="H552" s="74"/>
    </row>
    <row r="553" ht="16.5" customHeight="1">
      <c r="A553" s="6"/>
      <c r="B553" s="6"/>
      <c r="C553" s="6"/>
      <c r="D553" s="6"/>
      <c r="G553" s="6"/>
      <c r="H553" s="74"/>
    </row>
    <row r="554" ht="16.5" customHeight="1">
      <c r="A554" s="6"/>
      <c r="B554" s="6"/>
      <c r="C554" s="6"/>
      <c r="D554" s="6"/>
      <c r="G554" s="6"/>
      <c r="H554" s="74"/>
    </row>
    <row r="555" ht="16.5" customHeight="1">
      <c r="A555" s="6"/>
      <c r="B555" s="6"/>
      <c r="C555" s="6"/>
      <c r="D555" s="6"/>
      <c r="G555" s="6"/>
      <c r="H555" s="74"/>
    </row>
    <row r="556" ht="16.5" customHeight="1">
      <c r="A556" s="6"/>
      <c r="B556" s="6"/>
      <c r="C556" s="6"/>
      <c r="D556" s="6"/>
      <c r="G556" s="6"/>
      <c r="H556" s="74"/>
    </row>
    <row r="557" ht="16.5" customHeight="1">
      <c r="A557" s="6"/>
      <c r="B557" s="6"/>
      <c r="C557" s="6"/>
      <c r="D557" s="6"/>
      <c r="G557" s="6"/>
      <c r="H557" s="74"/>
    </row>
    <row r="558" ht="16.5" customHeight="1">
      <c r="A558" s="6"/>
      <c r="B558" s="6"/>
      <c r="C558" s="6"/>
      <c r="D558" s="6"/>
      <c r="G558" s="6"/>
      <c r="H558" s="74"/>
    </row>
    <row r="559" ht="16.5" customHeight="1">
      <c r="A559" s="6"/>
      <c r="B559" s="6"/>
      <c r="C559" s="6"/>
      <c r="D559" s="6"/>
      <c r="G559" s="6"/>
      <c r="H559" s="74"/>
    </row>
    <row r="560" ht="16.5" customHeight="1">
      <c r="A560" s="6"/>
      <c r="B560" s="6"/>
      <c r="C560" s="6"/>
      <c r="D560" s="6"/>
      <c r="G560" s="6"/>
      <c r="H560" s="74"/>
    </row>
    <row r="561" ht="16.5" customHeight="1">
      <c r="A561" s="6"/>
      <c r="B561" s="6"/>
      <c r="C561" s="6"/>
      <c r="D561" s="6"/>
      <c r="G561" s="6"/>
      <c r="H561" s="74"/>
    </row>
    <row r="562" ht="16.5" customHeight="1">
      <c r="A562" s="6"/>
      <c r="B562" s="6"/>
      <c r="C562" s="6"/>
      <c r="D562" s="6"/>
      <c r="G562" s="6"/>
      <c r="H562" s="74"/>
    </row>
    <row r="563" ht="16.5" customHeight="1">
      <c r="A563" s="6"/>
      <c r="B563" s="6"/>
      <c r="C563" s="6"/>
      <c r="D563" s="6"/>
      <c r="G563" s="6"/>
      <c r="H563" s="74"/>
    </row>
    <row r="564" ht="16.5" customHeight="1">
      <c r="A564" s="6"/>
      <c r="B564" s="6"/>
      <c r="C564" s="6"/>
      <c r="D564" s="6"/>
      <c r="G564" s="6"/>
      <c r="H564" s="74"/>
    </row>
    <row r="565" ht="16.5" customHeight="1">
      <c r="A565" s="6"/>
      <c r="B565" s="6"/>
      <c r="C565" s="6"/>
      <c r="D565" s="6"/>
      <c r="G565" s="6"/>
      <c r="H565" s="74"/>
    </row>
    <row r="566" ht="16.5" customHeight="1">
      <c r="A566" s="6"/>
      <c r="B566" s="6"/>
      <c r="C566" s="6"/>
      <c r="D566" s="6"/>
      <c r="G566" s="6"/>
      <c r="H566" s="74"/>
    </row>
    <row r="567" ht="16.5" customHeight="1">
      <c r="A567" s="6"/>
      <c r="B567" s="6"/>
      <c r="C567" s="6"/>
      <c r="D567" s="6"/>
      <c r="G567" s="6"/>
      <c r="H567" s="74"/>
    </row>
    <row r="568" ht="16.5" customHeight="1">
      <c r="A568" s="6"/>
      <c r="B568" s="6"/>
      <c r="C568" s="6"/>
      <c r="D568" s="6"/>
      <c r="G568" s="6"/>
      <c r="H568" s="74"/>
    </row>
    <row r="569" ht="16.5" customHeight="1">
      <c r="A569" s="6"/>
      <c r="B569" s="6"/>
      <c r="C569" s="6"/>
      <c r="D569" s="6"/>
      <c r="G569" s="6"/>
      <c r="H569" s="74"/>
    </row>
    <row r="570" ht="16.5" customHeight="1">
      <c r="A570" s="6"/>
      <c r="B570" s="6"/>
      <c r="C570" s="6"/>
      <c r="D570" s="6"/>
      <c r="G570" s="6"/>
      <c r="H570" s="74"/>
    </row>
    <row r="571" ht="16.5" customHeight="1">
      <c r="A571" s="6"/>
      <c r="B571" s="6"/>
      <c r="C571" s="6"/>
      <c r="D571" s="6"/>
      <c r="G571" s="6"/>
      <c r="H571" s="74"/>
    </row>
    <row r="572" ht="16.5" customHeight="1">
      <c r="A572" s="6"/>
      <c r="B572" s="6"/>
      <c r="C572" s="6"/>
      <c r="D572" s="6"/>
      <c r="G572" s="6"/>
      <c r="H572" s="74"/>
    </row>
    <row r="573" ht="16.5" customHeight="1">
      <c r="A573" s="6"/>
      <c r="B573" s="6"/>
      <c r="C573" s="6"/>
      <c r="D573" s="6"/>
      <c r="G573" s="6"/>
      <c r="H573" s="74"/>
    </row>
    <row r="574" ht="16.5" customHeight="1">
      <c r="A574" s="6"/>
      <c r="B574" s="6"/>
      <c r="C574" s="6"/>
      <c r="D574" s="6"/>
      <c r="G574" s="6"/>
      <c r="H574" s="74"/>
    </row>
    <row r="575" ht="16.5" customHeight="1">
      <c r="A575" s="6"/>
      <c r="B575" s="6"/>
      <c r="C575" s="6"/>
      <c r="D575" s="6"/>
      <c r="G575" s="6"/>
      <c r="H575" s="74"/>
    </row>
    <row r="576" ht="16.5" customHeight="1">
      <c r="A576" s="6"/>
      <c r="B576" s="6"/>
      <c r="C576" s="6"/>
      <c r="D576" s="6"/>
      <c r="G576" s="6"/>
      <c r="H576" s="74"/>
    </row>
    <row r="577" ht="16.5" customHeight="1">
      <c r="A577" s="6"/>
      <c r="B577" s="6"/>
      <c r="C577" s="6"/>
      <c r="D577" s="6"/>
      <c r="G577" s="6"/>
      <c r="H577" s="74"/>
    </row>
    <row r="578" ht="16.5" customHeight="1">
      <c r="A578" s="6"/>
      <c r="B578" s="6"/>
      <c r="C578" s="6"/>
      <c r="D578" s="6"/>
      <c r="G578" s="6"/>
      <c r="H578" s="74"/>
    </row>
    <row r="579" ht="16.5" customHeight="1">
      <c r="A579" s="6"/>
      <c r="B579" s="6"/>
      <c r="C579" s="6"/>
      <c r="D579" s="6"/>
      <c r="G579" s="6"/>
      <c r="H579" s="74"/>
    </row>
    <row r="580" ht="16.5" customHeight="1">
      <c r="A580" s="6"/>
      <c r="B580" s="6"/>
      <c r="C580" s="6"/>
      <c r="D580" s="6"/>
      <c r="G580" s="6"/>
      <c r="H580" s="74"/>
    </row>
    <row r="581" ht="16.5" customHeight="1">
      <c r="A581" s="6"/>
      <c r="B581" s="6"/>
      <c r="C581" s="6"/>
      <c r="D581" s="6"/>
      <c r="G581" s="6"/>
      <c r="H581" s="74"/>
    </row>
    <row r="582" ht="16.5" customHeight="1">
      <c r="A582" s="6"/>
      <c r="B582" s="6"/>
      <c r="C582" s="6"/>
      <c r="D582" s="6"/>
      <c r="G582" s="6"/>
      <c r="H582" s="74"/>
    </row>
    <row r="583" ht="16.5" customHeight="1">
      <c r="A583" s="6"/>
      <c r="B583" s="6"/>
      <c r="C583" s="6"/>
      <c r="D583" s="6"/>
      <c r="G583" s="6"/>
      <c r="H583" s="74"/>
    </row>
    <row r="584" ht="16.5" customHeight="1">
      <c r="A584" s="6"/>
      <c r="B584" s="6"/>
      <c r="C584" s="6"/>
      <c r="D584" s="6"/>
      <c r="G584" s="6"/>
      <c r="H584" s="74"/>
    </row>
    <row r="585" ht="16.5" customHeight="1">
      <c r="A585" s="6"/>
      <c r="B585" s="6"/>
      <c r="C585" s="6"/>
      <c r="D585" s="6"/>
      <c r="G585" s="6"/>
      <c r="H585" s="74"/>
    </row>
    <row r="586" ht="16.5" customHeight="1">
      <c r="A586" s="6"/>
      <c r="B586" s="6"/>
      <c r="C586" s="6"/>
      <c r="D586" s="6"/>
      <c r="G586" s="6"/>
      <c r="H586" s="74"/>
    </row>
    <row r="587" ht="16.5" customHeight="1">
      <c r="A587" s="6"/>
      <c r="B587" s="6"/>
      <c r="C587" s="6"/>
      <c r="D587" s="6"/>
      <c r="G587" s="6"/>
      <c r="H587" s="74"/>
    </row>
    <row r="588" ht="16.5" customHeight="1">
      <c r="A588" s="6"/>
      <c r="B588" s="6"/>
      <c r="C588" s="6"/>
      <c r="D588" s="6"/>
      <c r="G588" s="6"/>
      <c r="H588" s="74"/>
    </row>
    <row r="589" ht="16.5" customHeight="1">
      <c r="A589" s="6"/>
      <c r="B589" s="6"/>
      <c r="C589" s="6"/>
      <c r="D589" s="6"/>
      <c r="G589" s="6"/>
      <c r="H589" s="74"/>
    </row>
    <row r="590" ht="16.5" customHeight="1">
      <c r="A590" s="6"/>
      <c r="B590" s="6"/>
      <c r="C590" s="6"/>
      <c r="D590" s="6"/>
      <c r="G590" s="6"/>
      <c r="H590" s="74"/>
    </row>
    <row r="591" ht="16.5" customHeight="1">
      <c r="A591" s="6"/>
      <c r="B591" s="6"/>
      <c r="C591" s="6"/>
      <c r="D591" s="6"/>
      <c r="G591" s="6"/>
      <c r="H591" s="74"/>
    </row>
    <row r="592" ht="16.5" customHeight="1">
      <c r="A592" s="6"/>
      <c r="B592" s="6"/>
      <c r="C592" s="6"/>
      <c r="D592" s="6"/>
      <c r="G592" s="6"/>
      <c r="H592" s="74"/>
    </row>
    <row r="593" ht="16.5" customHeight="1">
      <c r="A593" s="6"/>
      <c r="B593" s="6"/>
      <c r="C593" s="6"/>
      <c r="D593" s="6"/>
      <c r="G593" s="6"/>
      <c r="H593" s="74"/>
    </row>
    <row r="594" ht="16.5" customHeight="1">
      <c r="A594" s="6"/>
      <c r="B594" s="6"/>
      <c r="C594" s="6"/>
      <c r="D594" s="6"/>
      <c r="G594" s="6"/>
      <c r="H594" s="74"/>
    </row>
    <row r="595" ht="16.5" customHeight="1">
      <c r="A595" s="6"/>
      <c r="B595" s="6"/>
      <c r="C595" s="6"/>
      <c r="D595" s="6"/>
      <c r="G595" s="6"/>
      <c r="H595" s="74"/>
    </row>
    <row r="596" ht="16.5" customHeight="1">
      <c r="A596" s="6"/>
      <c r="B596" s="6"/>
      <c r="C596" s="6"/>
      <c r="D596" s="6"/>
      <c r="G596" s="6"/>
      <c r="H596" s="74"/>
    </row>
    <row r="597" ht="16.5" customHeight="1">
      <c r="A597" s="6"/>
      <c r="B597" s="6"/>
      <c r="C597" s="6"/>
      <c r="D597" s="6"/>
      <c r="G597" s="6"/>
      <c r="H597" s="74"/>
    </row>
    <row r="598" ht="16.5" customHeight="1">
      <c r="A598" s="6"/>
      <c r="B598" s="6"/>
      <c r="C598" s="6"/>
      <c r="D598" s="6"/>
      <c r="G598" s="6"/>
      <c r="H598" s="74"/>
    </row>
    <row r="599" ht="16.5" customHeight="1">
      <c r="A599" s="6"/>
      <c r="B599" s="6"/>
      <c r="C599" s="6"/>
      <c r="D599" s="6"/>
      <c r="G599" s="6"/>
      <c r="H599" s="74"/>
    </row>
    <row r="600" ht="16.5" customHeight="1">
      <c r="A600" s="6"/>
      <c r="B600" s="6"/>
      <c r="C600" s="6"/>
      <c r="D600" s="6"/>
      <c r="G600" s="6"/>
      <c r="H600" s="74"/>
    </row>
    <row r="601" ht="16.5" customHeight="1">
      <c r="A601" s="6"/>
      <c r="B601" s="6"/>
      <c r="C601" s="6"/>
      <c r="D601" s="6"/>
      <c r="G601" s="6"/>
      <c r="H601" s="74"/>
    </row>
    <row r="602" ht="16.5" customHeight="1">
      <c r="A602" s="6"/>
      <c r="B602" s="6"/>
      <c r="C602" s="6"/>
      <c r="D602" s="6"/>
      <c r="G602" s="6"/>
      <c r="H602" s="74"/>
    </row>
    <row r="603" ht="16.5" customHeight="1">
      <c r="A603" s="6"/>
      <c r="B603" s="6"/>
      <c r="C603" s="6"/>
      <c r="D603" s="6"/>
      <c r="G603" s="6"/>
      <c r="H603" s="74"/>
    </row>
    <row r="604" ht="16.5" customHeight="1">
      <c r="A604" s="6"/>
      <c r="B604" s="6"/>
      <c r="C604" s="6"/>
      <c r="D604" s="6"/>
      <c r="G604" s="6"/>
      <c r="H604" s="74"/>
    </row>
    <row r="605" ht="16.5" customHeight="1">
      <c r="A605" s="6"/>
      <c r="B605" s="6"/>
      <c r="C605" s="6"/>
      <c r="D605" s="6"/>
      <c r="G605" s="6"/>
      <c r="H605" s="74"/>
    </row>
    <row r="606" ht="16.5" customHeight="1">
      <c r="A606" s="6"/>
      <c r="B606" s="6"/>
      <c r="C606" s="6"/>
      <c r="D606" s="6"/>
      <c r="G606" s="6"/>
      <c r="H606" s="74"/>
    </row>
    <row r="607" ht="16.5" customHeight="1">
      <c r="A607" s="6"/>
      <c r="B607" s="6"/>
      <c r="C607" s="6"/>
      <c r="D607" s="6"/>
      <c r="G607" s="6"/>
      <c r="H607" s="74"/>
    </row>
    <row r="608" ht="16.5" customHeight="1">
      <c r="A608" s="6"/>
      <c r="B608" s="6"/>
      <c r="C608" s="6"/>
      <c r="D608" s="6"/>
      <c r="G608" s="6"/>
      <c r="H608" s="74"/>
    </row>
    <row r="609" ht="16.5" customHeight="1">
      <c r="A609" s="6"/>
      <c r="B609" s="6"/>
      <c r="C609" s="6"/>
      <c r="D609" s="6"/>
      <c r="G609" s="6"/>
      <c r="H609" s="74"/>
    </row>
    <row r="610" ht="16.5" customHeight="1">
      <c r="A610" s="6"/>
      <c r="B610" s="6"/>
      <c r="C610" s="6"/>
      <c r="D610" s="6"/>
      <c r="G610" s="6"/>
      <c r="H610" s="74"/>
    </row>
    <row r="611" ht="16.5" customHeight="1">
      <c r="A611" s="6"/>
      <c r="B611" s="6"/>
      <c r="C611" s="6"/>
      <c r="D611" s="6"/>
      <c r="G611" s="6"/>
      <c r="H611" s="74"/>
    </row>
    <row r="612" ht="16.5" customHeight="1">
      <c r="A612" s="6"/>
      <c r="B612" s="6"/>
      <c r="C612" s="6"/>
      <c r="D612" s="6"/>
      <c r="G612" s="6"/>
      <c r="H612" s="74"/>
    </row>
    <row r="613" ht="16.5" customHeight="1">
      <c r="A613" s="6"/>
      <c r="B613" s="6"/>
      <c r="C613" s="6"/>
      <c r="D613" s="6"/>
      <c r="G613" s="6"/>
      <c r="H613" s="74"/>
    </row>
    <row r="614" ht="16.5" customHeight="1">
      <c r="A614" s="6"/>
      <c r="B614" s="6"/>
      <c r="C614" s="6"/>
      <c r="D614" s="6"/>
      <c r="G614" s="6"/>
      <c r="H614" s="74"/>
    </row>
    <row r="615" ht="16.5" customHeight="1">
      <c r="A615" s="6"/>
      <c r="B615" s="6"/>
      <c r="C615" s="6"/>
      <c r="D615" s="6"/>
      <c r="G615" s="6"/>
      <c r="H615" s="74"/>
    </row>
    <row r="616" ht="16.5" customHeight="1">
      <c r="A616" s="6"/>
      <c r="B616" s="6"/>
      <c r="C616" s="6"/>
      <c r="D616" s="6"/>
      <c r="G616" s="6"/>
      <c r="H616" s="74"/>
    </row>
    <row r="617" ht="16.5" customHeight="1">
      <c r="A617" s="6"/>
      <c r="B617" s="6"/>
      <c r="C617" s="6"/>
      <c r="D617" s="6"/>
      <c r="G617" s="6"/>
      <c r="H617" s="74"/>
    </row>
    <row r="618" ht="16.5" customHeight="1">
      <c r="A618" s="6"/>
      <c r="B618" s="6"/>
      <c r="C618" s="6"/>
      <c r="D618" s="6"/>
      <c r="G618" s="6"/>
      <c r="H618" s="74"/>
    </row>
    <row r="619" ht="16.5" customHeight="1">
      <c r="A619" s="6"/>
      <c r="B619" s="6"/>
      <c r="C619" s="6"/>
      <c r="D619" s="6"/>
      <c r="G619" s="6"/>
      <c r="H619" s="74"/>
    </row>
    <row r="620" ht="16.5" customHeight="1">
      <c r="A620" s="6"/>
      <c r="B620" s="6"/>
      <c r="C620" s="6"/>
      <c r="D620" s="6"/>
      <c r="G620" s="6"/>
      <c r="H620" s="74"/>
    </row>
    <row r="621" ht="16.5" customHeight="1">
      <c r="A621" s="6"/>
      <c r="B621" s="6"/>
      <c r="C621" s="6"/>
      <c r="D621" s="6"/>
      <c r="G621" s="6"/>
      <c r="H621" s="74"/>
    </row>
    <row r="622" ht="16.5" customHeight="1">
      <c r="A622" s="6"/>
      <c r="B622" s="6"/>
      <c r="C622" s="6"/>
      <c r="D622" s="6"/>
      <c r="G622" s="6"/>
      <c r="H622" s="74"/>
    </row>
    <row r="623" ht="16.5" customHeight="1">
      <c r="A623" s="6"/>
      <c r="B623" s="6"/>
      <c r="C623" s="6"/>
      <c r="D623" s="6"/>
      <c r="G623" s="6"/>
      <c r="H623" s="74"/>
    </row>
    <row r="624" ht="16.5" customHeight="1">
      <c r="A624" s="6"/>
      <c r="B624" s="6"/>
      <c r="C624" s="6"/>
      <c r="D624" s="6"/>
      <c r="G624" s="6"/>
      <c r="H624" s="74"/>
    </row>
    <row r="625" ht="16.5" customHeight="1">
      <c r="A625" s="6"/>
      <c r="B625" s="6"/>
      <c r="C625" s="6"/>
      <c r="D625" s="6"/>
      <c r="G625" s="6"/>
      <c r="H625" s="74"/>
    </row>
    <row r="626" ht="16.5" customHeight="1">
      <c r="A626" s="6"/>
      <c r="B626" s="6"/>
      <c r="C626" s="6"/>
      <c r="D626" s="6"/>
      <c r="G626" s="6"/>
      <c r="H626" s="74"/>
    </row>
    <row r="627" ht="16.5" customHeight="1">
      <c r="A627" s="6"/>
      <c r="B627" s="6"/>
      <c r="C627" s="6"/>
      <c r="D627" s="6"/>
      <c r="G627" s="6"/>
      <c r="H627" s="74"/>
    </row>
    <row r="628" ht="16.5" customHeight="1">
      <c r="A628" s="6"/>
      <c r="B628" s="6"/>
      <c r="C628" s="6"/>
      <c r="D628" s="6"/>
      <c r="G628" s="6"/>
      <c r="H628" s="74"/>
    </row>
    <row r="629" ht="16.5" customHeight="1">
      <c r="A629" s="6"/>
      <c r="B629" s="6"/>
      <c r="C629" s="6"/>
      <c r="D629" s="6"/>
      <c r="G629" s="6"/>
      <c r="H629" s="74"/>
    </row>
    <row r="630" ht="16.5" customHeight="1">
      <c r="A630" s="6"/>
      <c r="B630" s="6"/>
      <c r="C630" s="6"/>
      <c r="D630" s="6"/>
      <c r="G630" s="6"/>
      <c r="H630" s="74"/>
    </row>
    <row r="631" ht="16.5" customHeight="1">
      <c r="A631" s="6"/>
      <c r="B631" s="6"/>
      <c r="C631" s="6"/>
      <c r="D631" s="6"/>
      <c r="G631" s="6"/>
      <c r="H631" s="74"/>
    </row>
    <row r="632" ht="16.5" customHeight="1">
      <c r="A632" s="6"/>
      <c r="B632" s="6"/>
      <c r="C632" s="6"/>
      <c r="D632" s="6"/>
      <c r="G632" s="6"/>
      <c r="H632" s="74"/>
    </row>
    <row r="633" ht="16.5" customHeight="1">
      <c r="A633" s="6"/>
      <c r="B633" s="6"/>
      <c r="C633" s="6"/>
      <c r="D633" s="6"/>
      <c r="G633" s="6"/>
      <c r="H633" s="74"/>
    </row>
    <row r="634" ht="16.5" customHeight="1">
      <c r="A634" s="6"/>
      <c r="B634" s="6"/>
      <c r="C634" s="6"/>
      <c r="D634" s="6"/>
      <c r="G634" s="6"/>
      <c r="H634" s="74"/>
    </row>
    <row r="635" ht="16.5" customHeight="1">
      <c r="A635" s="6"/>
      <c r="B635" s="6"/>
      <c r="C635" s="6"/>
      <c r="D635" s="6"/>
      <c r="G635" s="6"/>
      <c r="H635" s="74"/>
    </row>
    <row r="636" ht="16.5" customHeight="1">
      <c r="A636" s="6"/>
      <c r="B636" s="6"/>
      <c r="C636" s="6"/>
      <c r="D636" s="6"/>
      <c r="G636" s="6"/>
      <c r="H636" s="74"/>
    </row>
    <row r="637" ht="16.5" customHeight="1">
      <c r="A637" s="6"/>
      <c r="B637" s="6"/>
      <c r="C637" s="6"/>
      <c r="D637" s="6"/>
      <c r="G637" s="6"/>
      <c r="H637" s="74"/>
    </row>
    <row r="638" ht="16.5" customHeight="1">
      <c r="A638" s="6"/>
      <c r="B638" s="6"/>
      <c r="C638" s="6"/>
      <c r="D638" s="6"/>
      <c r="G638" s="6"/>
      <c r="H638" s="74"/>
    </row>
    <row r="639" ht="16.5" customHeight="1">
      <c r="A639" s="6"/>
      <c r="B639" s="6"/>
      <c r="C639" s="6"/>
      <c r="D639" s="6"/>
      <c r="G639" s="6"/>
      <c r="H639" s="74"/>
    </row>
    <row r="640" ht="16.5" customHeight="1">
      <c r="A640" s="6"/>
      <c r="B640" s="6"/>
      <c r="C640" s="6"/>
      <c r="D640" s="6"/>
      <c r="G640" s="6"/>
      <c r="H640" s="74"/>
    </row>
    <row r="641" ht="16.5" customHeight="1">
      <c r="A641" s="6"/>
      <c r="B641" s="6"/>
      <c r="C641" s="6"/>
      <c r="D641" s="6"/>
      <c r="G641" s="6"/>
      <c r="H641" s="74"/>
    </row>
    <row r="642" ht="16.5" customHeight="1">
      <c r="A642" s="6"/>
      <c r="B642" s="6"/>
      <c r="C642" s="6"/>
      <c r="D642" s="6"/>
      <c r="G642" s="6"/>
      <c r="H642" s="74"/>
    </row>
    <row r="643" ht="16.5" customHeight="1">
      <c r="A643" s="6"/>
      <c r="B643" s="6"/>
      <c r="C643" s="6"/>
      <c r="D643" s="6"/>
      <c r="G643" s="6"/>
      <c r="H643" s="74"/>
    </row>
    <row r="644" ht="16.5" customHeight="1">
      <c r="A644" s="6"/>
      <c r="B644" s="6"/>
      <c r="C644" s="6"/>
      <c r="D644" s="6"/>
      <c r="G644" s="6"/>
      <c r="H644" s="74"/>
    </row>
    <row r="645" ht="16.5" customHeight="1">
      <c r="A645" s="6"/>
      <c r="B645" s="6"/>
      <c r="C645" s="6"/>
      <c r="D645" s="6"/>
      <c r="G645" s="6"/>
      <c r="H645" s="74"/>
    </row>
    <row r="646" ht="16.5" customHeight="1">
      <c r="A646" s="6"/>
      <c r="B646" s="6"/>
      <c r="C646" s="6"/>
      <c r="D646" s="6"/>
      <c r="G646" s="6"/>
      <c r="H646" s="74"/>
    </row>
    <row r="647" ht="16.5" customHeight="1">
      <c r="A647" s="6"/>
      <c r="B647" s="6"/>
      <c r="C647" s="6"/>
      <c r="D647" s="6"/>
      <c r="G647" s="6"/>
      <c r="H647" s="74"/>
    </row>
    <row r="648" ht="16.5" customHeight="1">
      <c r="A648" s="6"/>
      <c r="B648" s="6"/>
      <c r="C648" s="6"/>
      <c r="D648" s="6"/>
      <c r="G648" s="6"/>
      <c r="H648" s="74"/>
    </row>
    <row r="649" ht="16.5" customHeight="1">
      <c r="A649" s="6"/>
      <c r="B649" s="6"/>
      <c r="C649" s="6"/>
      <c r="D649" s="6"/>
      <c r="G649" s="6"/>
      <c r="H649" s="74"/>
    </row>
    <row r="650" ht="16.5" customHeight="1">
      <c r="A650" s="6"/>
      <c r="B650" s="6"/>
      <c r="C650" s="6"/>
      <c r="D650" s="6"/>
      <c r="G650" s="6"/>
      <c r="H650" s="74"/>
    </row>
    <row r="651" ht="16.5" customHeight="1">
      <c r="A651" s="6"/>
      <c r="B651" s="6"/>
      <c r="C651" s="6"/>
      <c r="D651" s="6"/>
      <c r="G651" s="6"/>
      <c r="H651" s="74"/>
    </row>
    <row r="652" ht="16.5" customHeight="1">
      <c r="A652" s="6"/>
      <c r="B652" s="6"/>
      <c r="C652" s="6"/>
      <c r="D652" s="6"/>
      <c r="G652" s="6"/>
      <c r="H652" s="74"/>
    </row>
    <row r="653" ht="16.5" customHeight="1">
      <c r="A653" s="6"/>
      <c r="B653" s="6"/>
      <c r="C653" s="6"/>
      <c r="D653" s="6"/>
      <c r="G653" s="6"/>
      <c r="H653" s="74"/>
    </row>
    <row r="654" ht="16.5" customHeight="1">
      <c r="A654" s="6"/>
      <c r="B654" s="6"/>
      <c r="C654" s="6"/>
      <c r="D654" s="6"/>
      <c r="G654" s="6"/>
      <c r="H654" s="74"/>
    </row>
    <row r="655" ht="16.5" customHeight="1">
      <c r="A655" s="6"/>
      <c r="B655" s="6"/>
      <c r="C655" s="6"/>
      <c r="D655" s="6"/>
      <c r="G655" s="6"/>
      <c r="H655" s="74"/>
    </row>
    <row r="656" ht="16.5" customHeight="1">
      <c r="A656" s="6"/>
      <c r="B656" s="6"/>
      <c r="C656" s="6"/>
      <c r="D656" s="6"/>
      <c r="G656" s="6"/>
      <c r="H656" s="74"/>
    </row>
    <row r="657" ht="16.5" customHeight="1">
      <c r="A657" s="6"/>
      <c r="B657" s="6"/>
      <c r="C657" s="6"/>
      <c r="D657" s="6"/>
      <c r="G657" s="6"/>
      <c r="H657" s="74"/>
    </row>
    <row r="658" ht="16.5" customHeight="1">
      <c r="A658" s="6"/>
      <c r="B658" s="6"/>
      <c r="C658" s="6"/>
      <c r="D658" s="6"/>
      <c r="G658" s="6"/>
      <c r="H658" s="74"/>
    </row>
    <row r="659" ht="16.5" customHeight="1">
      <c r="A659" s="6"/>
      <c r="B659" s="6"/>
      <c r="C659" s="6"/>
      <c r="D659" s="6"/>
      <c r="G659" s="6"/>
      <c r="H659" s="74"/>
    </row>
    <row r="660" ht="16.5" customHeight="1">
      <c r="A660" s="6"/>
      <c r="B660" s="6"/>
      <c r="C660" s="6"/>
      <c r="D660" s="6"/>
      <c r="G660" s="6"/>
      <c r="H660" s="74"/>
    </row>
    <row r="661" ht="16.5" customHeight="1">
      <c r="A661" s="6"/>
      <c r="B661" s="6"/>
      <c r="C661" s="6"/>
      <c r="D661" s="6"/>
      <c r="G661" s="6"/>
      <c r="H661" s="74"/>
    </row>
    <row r="662" ht="16.5" customHeight="1">
      <c r="A662" s="6"/>
      <c r="B662" s="6"/>
      <c r="C662" s="6"/>
      <c r="D662" s="6"/>
      <c r="G662" s="6"/>
      <c r="H662" s="74"/>
    </row>
    <row r="663" ht="16.5" customHeight="1">
      <c r="A663" s="6"/>
      <c r="B663" s="6"/>
      <c r="C663" s="6"/>
      <c r="D663" s="6"/>
      <c r="G663" s="6"/>
      <c r="H663" s="74"/>
    </row>
    <row r="664" ht="16.5" customHeight="1">
      <c r="A664" s="6"/>
      <c r="B664" s="6"/>
      <c r="C664" s="6"/>
      <c r="D664" s="6"/>
      <c r="G664" s="6"/>
      <c r="H664" s="74"/>
    </row>
    <row r="665" ht="16.5" customHeight="1">
      <c r="A665" s="6"/>
      <c r="B665" s="6"/>
      <c r="C665" s="6"/>
      <c r="D665" s="6"/>
      <c r="G665" s="6"/>
      <c r="H665" s="74"/>
    </row>
    <row r="666" ht="16.5" customHeight="1">
      <c r="A666" s="6"/>
      <c r="B666" s="6"/>
      <c r="C666" s="6"/>
      <c r="D666" s="6"/>
      <c r="G666" s="6"/>
      <c r="H666" s="74"/>
    </row>
    <row r="667" ht="16.5" customHeight="1">
      <c r="A667" s="6"/>
      <c r="B667" s="6"/>
      <c r="C667" s="6"/>
      <c r="D667" s="6"/>
      <c r="G667" s="6"/>
      <c r="H667" s="74"/>
    </row>
    <row r="668" ht="16.5" customHeight="1">
      <c r="A668" s="6"/>
      <c r="B668" s="6"/>
      <c r="C668" s="6"/>
      <c r="D668" s="6"/>
      <c r="G668" s="6"/>
      <c r="H668" s="74"/>
    </row>
    <row r="669" ht="16.5" customHeight="1">
      <c r="A669" s="6"/>
      <c r="B669" s="6"/>
      <c r="C669" s="6"/>
      <c r="D669" s="6"/>
      <c r="G669" s="6"/>
      <c r="H669" s="74"/>
    </row>
    <row r="670" ht="16.5" customHeight="1">
      <c r="A670" s="6"/>
      <c r="B670" s="6"/>
      <c r="C670" s="6"/>
      <c r="D670" s="6"/>
      <c r="G670" s="6"/>
      <c r="H670" s="74"/>
    </row>
    <row r="671" ht="16.5" customHeight="1">
      <c r="A671" s="6"/>
      <c r="B671" s="6"/>
      <c r="C671" s="6"/>
      <c r="D671" s="6"/>
      <c r="G671" s="6"/>
      <c r="H671" s="74"/>
    </row>
    <row r="672" ht="16.5" customHeight="1">
      <c r="A672" s="6"/>
      <c r="B672" s="6"/>
      <c r="C672" s="6"/>
      <c r="D672" s="6"/>
      <c r="G672" s="6"/>
      <c r="H672" s="74"/>
    </row>
    <row r="673" ht="16.5" customHeight="1">
      <c r="A673" s="6"/>
      <c r="B673" s="6"/>
      <c r="C673" s="6"/>
      <c r="D673" s="6"/>
      <c r="G673" s="6"/>
      <c r="H673" s="74"/>
    </row>
    <row r="674" ht="16.5" customHeight="1">
      <c r="A674" s="6"/>
      <c r="B674" s="6"/>
      <c r="C674" s="6"/>
      <c r="D674" s="6"/>
      <c r="G674" s="6"/>
      <c r="H674" s="74"/>
    </row>
    <row r="675" ht="16.5" customHeight="1">
      <c r="A675" s="6"/>
      <c r="B675" s="6"/>
      <c r="C675" s="6"/>
      <c r="D675" s="6"/>
      <c r="G675" s="6"/>
      <c r="H675" s="74"/>
    </row>
    <row r="676" ht="16.5" customHeight="1">
      <c r="A676" s="6"/>
      <c r="B676" s="6"/>
      <c r="C676" s="6"/>
      <c r="D676" s="6"/>
      <c r="G676" s="6"/>
      <c r="H676" s="74"/>
    </row>
    <row r="677" ht="16.5" customHeight="1">
      <c r="A677" s="6"/>
      <c r="B677" s="6"/>
      <c r="C677" s="6"/>
      <c r="D677" s="6"/>
      <c r="G677" s="6"/>
      <c r="H677" s="74"/>
    </row>
    <row r="678" ht="16.5" customHeight="1">
      <c r="A678" s="6"/>
      <c r="B678" s="6"/>
      <c r="C678" s="6"/>
      <c r="D678" s="6"/>
      <c r="G678" s="6"/>
      <c r="H678" s="74"/>
    </row>
    <row r="679" ht="16.5" customHeight="1">
      <c r="A679" s="6"/>
      <c r="B679" s="6"/>
      <c r="C679" s="6"/>
      <c r="D679" s="6"/>
      <c r="G679" s="6"/>
      <c r="H679" s="74"/>
    </row>
    <row r="680" ht="16.5" customHeight="1">
      <c r="A680" s="6"/>
      <c r="B680" s="6"/>
      <c r="C680" s="6"/>
      <c r="D680" s="6"/>
      <c r="G680" s="6"/>
      <c r="H680" s="74"/>
    </row>
    <row r="681" ht="16.5" customHeight="1">
      <c r="A681" s="6"/>
      <c r="B681" s="6"/>
      <c r="C681" s="6"/>
      <c r="D681" s="6"/>
      <c r="G681" s="6"/>
      <c r="H681" s="74"/>
    </row>
    <row r="682" ht="16.5" customHeight="1">
      <c r="A682" s="6"/>
      <c r="B682" s="6"/>
      <c r="C682" s="6"/>
      <c r="D682" s="6"/>
      <c r="G682" s="6"/>
      <c r="H682" s="74"/>
    </row>
    <row r="683" ht="16.5" customHeight="1">
      <c r="A683" s="6"/>
      <c r="B683" s="6"/>
      <c r="C683" s="6"/>
      <c r="D683" s="6"/>
      <c r="G683" s="6"/>
      <c r="H683" s="74"/>
    </row>
    <row r="684" ht="16.5" customHeight="1">
      <c r="A684" s="6"/>
      <c r="B684" s="6"/>
      <c r="C684" s="6"/>
      <c r="D684" s="6"/>
      <c r="G684" s="6"/>
      <c r="H684" s="74"/>
    </row>
    <row r="685" ht="16.5" customHeight="1">
      <c r="A685" s="6"/>
      <c r="B685" s="6"/>
      <c r="C685" s="6"/>
      <c r="D685" s="6"/>
      <c r="G685" s="6"/>
      <c r="H685" s="74"/>
    </row>
    <row r="686" ht="16.5" customHeight="1">
      <c r="A686" s="6"/>
      <c r="B686" s="6"/>
      <c r="C686" s="6"/>
      <c r="D686" s="6"/>
      <c r="G686" s="6"/>
      <c r="H686" s="74"/>
    </row>
    <row r="687" ht="16.5" customHeight="1">
      <c r="A687" s="6"/>
      <c r="B687" s="6"/>
      <c r="C687" s="6"/>
      <c r="D687" s="6"/>
      <c r="G687" s="6"/>
      <c r="H687" s="74"/>
    </row>
    <row r="688" ht="16.5" customHeight="1">
      <c r="A688" s="6"/>
      <c r="B688" s="6"/>
      <c r="C688" s="6"/>
      <c r="D688" s="6"/>
      <c r="G688" s="6"/>
      <c r="H688" s="74"/>
    </row>
    <row r="689" ht="16.5" customHeight="1">
      <c r="A689" s="6"/>
      <c r="B689" s="6"/>
      <c r="C689" s="6"/>
      <c r="D689" s="6"/>
      <c r="G689" s="6"/>
      <c r="H689" s="74"/>
    </row>
    <row r="690" ht="16.5" customHeight="1">
      <c r="A690" s="6"/>
      <c r="B690" s="6"/>
      <c r="C690" s="6"/>
      <c r="D690" s="6"/>
      <c r="G690" s="6"/>
      <c r="H690" s="74"/>
    </row>
    <row r="691" ht="16.5" customHeight="1">
      <c r="A691" s="6"/>
      <c r="B691" s="6"/>
      <c r="C691" s="6"/>
      <c r="D691" s="6"/>
      <c r="G691" s="6"/>
      <c r="H691" s="74"/>
    </row>
    <row r="692" ht="16.5" customHeight="1">
      <c r="A692" s="6"/>
      <c r="B692" s="6"/>
      <c r="C692" s="6"/>
      <c r="D692" s="6"/>
      <c r="G692" s="6"/>
      <c r="H692" s="74"/>
    </row>
    <row r="693" ht="16.5" customHeight="1">
      <c r="A693" s="6"/>
      <c r="B693" s="6"/>
      <c r="C693" s="6"/>
      <c r="D693" s="6"/>
      <c r="G693" s="6"/>
      <c r="H693" s="74"/>
    </row>
    <row r="694" ht="16.5" customHeight="1">
      <c r="A694" s="6"/>
      <c r="B694" s="6"/>
      <c r="C694" s="6"/>
      <c r="D694" s="6"/>
      <c r="G694" s="6"/>
      <c r="H694" s="74"/>
    </row>
    <row r="695" ht="16.5" customHeight="1">
      <c r="A695" s="6"/>
      <c r="B695" s="6"/>
      <c r="C695" s="6"/>
      <c r="D695" s="6"/>
      <c r="G695" s="6"/>
      <c r="H695" s="74"/>
    </row>
    <row r="696" ht="16.5" customHeight="1">
      <c r="A696" s="6"/>
      <c r="B696" s="6"/>
      <c r="C696" s="6"/>
      <c r="D696" s="6"/>
      <c r="G696" s="6"/>
      <c r="H696" s="74"/>
    </row>
    <row r="697" ht="16.5" customHeight="1">
      <c r="A697" s="6"/>
      <c r="B697" s="6"/>
      <c r="C697" s="6"/>
      <c r="D697" s="6"/>
      <c r="G697" s="6"/>
      <c r="H697" s="74"/>
    </row>
    <row r="698" ht="16.5" customHeight="1">
      <c r="A698" s="6"/>
      <c r="B698" s="6"/>
      <c r="C698" s="6"/>
      <c r="D698" s="6"/>
      <c r="G698" s="6"/>
      <c r="H698" s="74"/>
    </row>
    <row r="699" ht="16.5" customHeight="1">
      <c r="A699" s="6"/>
      <c r="B699" s="6"/>
      <c r="C699" s="6"/>
      <c r="D699" s="6"/>
      <c r="G699" s="6"/>
      <c r="H699" s="74"/>
    </row>
    <row r="700" ht="16.5" customHeight="1">
      <c r="A700" s="6"/>
      <c r="B700" s="6"/>
      <c r="C700" s="6"/>
      <c r="D700" s="6"/>
      <c r="G700" s="6"/>
      <c r="H700" s="74"/>
    </row>
    <row r="701" ht="16.5" customHeight="1">
      <c r="A701" s="6"/>
      <c r="B701" s="6"/>
      <c r="C701" s="6"/>
      <c r="D701" s="6"/>
      <c r="G701" s="6"/>
      <c r="H701" s="74"/>
    </row>
    <row r="702" ht="16.5" customHeight="1">
      <c r="A702" s="6"/>
      <c r="B702" s="6"/>
      <c r="C702" s="6"/>
      <c r="D702" s="6"/>
      <c r="G702" s="6"/>
      <c r="H702" s="74"/>
    </row>
    <row r="703" ht="16.5" customHeight="1">
      <c r="A703" s="6"/>
      <c r="B703" s="6"/>
      <c r="C703" s="6"/>
      <c r="D703" s="6"/>
      <c r="G703" s="6"/>
      <c r="H703" s="74"/>
    </row>
    <row r="704" ht="16.5" customHeight="1">
      <c r="A704" s="6"/>
      <c r="B704" s="6"/>
      <c r="C704" s="6"/>
      <c r="D704" s="6"/>
      <c r="G704" s="6"/>
      <c r="H704" s="74"/>
    </row>
  </sheetData>
  <mergeCells count="12">
    <mergeCell ref="A1:A2"/>
    <mergeCell ref="B1:B2"/>
    <mergeCell ref="C1:D1"/>
    <mergeCell ref="E1:F1"/>
    <mergeCell ref="A3:A16"/>
    <mergeCell ref="A17:A25"/>
    <mergeCell ref="A26:A33"/>
    <mergeCell ref="A34:A42"/>
    <mergeCell ref="A43:A45"/>
    <mergeCell ref="A46:A53"/>
    <mergeCell ref="A54:A55"/>
    <mergeCell ref="A56:A5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2026-08-03T16:29:23Z</dcterms:modified>
</cp:coreProperties>
</file>